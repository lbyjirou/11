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报价" sheetId="2" r:id="rId1"/>
    <sheet name="报价计算公式" sheetId="4" r:id="rId2"/>
  </sheets>
  <definedNames>
    <definedName name="_xlnm.Print_Area" localSheetId="0">报价!$A$1:$J$23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<sst xmlns="http://schemas.openxmlformats.org/spreadsheetml/2006/main" count="782" uniqueCount="438">
  <si>
    <t>报价单</t>
  </si>
  <si>
    <t>芯体尺寸</t>
  </si>
  <si>
    <t>中心距</t>
  </si>
  <si>
    <t>芯宽</t>
  </si>
  <si>
    <t>芯厚</t>
  </si>
  <si>
    <t>制单日期：</t>
  </si>
  <si>
    <t>铝锭价：(元/KG)</t>
  </si>
  <si>
    <t>序号</t>
  </si>
  <si>
    <t>名称</t>
  </si>
  <si>
    <t>单台材料定额</t>
  </si>
  <si>
    <t>备注</t>
  </si>
  <si>
    <t>材料</t>
  </si>
  <si>
    <t>规格</t>
  </si>
  <si>
    <t>单价</t>
  </si>
  <si>
    <t>数量</t>
  </si>
  <si>
    <t>定额(元)</t>
  </si>
  <si>
    <t>集流管</t>
  </si>
  <si>
    <t>4045/3003-H14</t>
  </si>
  <si>
    <t>C16X1.2t</t>
  </si>
  <si>
    <t>翅片</t>
  </si>
  <si>
    <t>4343/3003/4343-H14</t>
  </si>
  <si>
    <t>扁管</t>
  </si>
  <si>
    <t>AA1100-H112</t>
  </si>
  <si>
    <r>
      <t>12</t>
    </r>
    <r>
      <rPr>
        <sz val="9"/>
        <rFont val="宋体"/>
        <charset val="134"/>
      </rPr>
      <t>X2</t>
    </r>
    <r>
      <rPr>
        <sz val="9"/>
        <rFont val="宋体"/>
        <charset val="134"/>
      </rPr>
      <t>-605</t>
    </r>
  </si>
  <si>
    <t>边板</t>
  </si>
  <si>
    <t>1.5t</t>
  </si>
  <si>
    <t>堵帽</t>
  </si>
  <si>
    <t>4045/3003/4045-H14</t>
  </si>
  <si>
    <t>0.5元/PCS</t>
  </si>
  <si>
    <t>隔板</t>
  </si>
  <si>
    <t>0.35元/PCS</t>
  </si>
  <si>
    <t>芯体支架</t>
  </si>
  <si>
    <t>K70A</t>
  </si>
  <si>
    <t>进口压板</t>
  </si>
  <si>
    <t>出口压板</t>
  </si>
  <si>
    <t>储液罐组件</t>
  </si>
  <si>
    <t>含上下堵帽、干燥剂、过滤网、O形圈</t>
  </si>
  <si>
    <t>密封件</t>
  </si>
  <si>
    <t>包装箱</t>
  </si>
  <si>
    <t>瓦楞纸</t>
  </si>
  <si>
    <t>5只1大包</t>
  </si>
  <si>
    <t>材料成本</t>
  </si>
  <si>
    <t>制造费用</t>
  </si>
  <si>
    <r>
      <t>1</t>
    </r>
    <r>
      <rPr>
        <sz val="9"/>
        <rFont val="宋体"/>
        <charset val="134"/>
      </rPr>
      <t>0</t>
    </r>
    <r>
      <rPr>
        <sz val="9"/>
        <rFont val="宋体"/>
        <charset val="134"/>
      </rPr>
      <t>%的利润</t>
    </r>
  </si>
  <si>
    <t>运费</t>
  </si>
  <si>
    <t>合计</t>
  </si>
  <si>
    <t>编制:</t>
  </si>
  <si>
    <t>审核:</t>
  </si>
  <si>
    <t>批准:</t>
  </si>
  <si>
    <t>默认单位</t>
  </si>
  <si>
    <t>KG,MM,元</t>
  </si>
  <si>
    <t>铝锭(元/KG)</t>
  </si>
  <si>
    <t>查询铝价当天价格：长江有色金属网</t>
  </si>
  <si>
    <t>理论实际差异比</t>
  </si>
  <si>
    <t>损耗比</t>
  </si>
  <si>
    <t>类别</t>
  </si>
  <si>
    <t>截面积</t>
  </si>
  <si>
    <t>输入长度</t>
  </si>
  <si>
    <t>单根重量</t>
  </si>
  <si>
    <t>原料加工费</t>
  </si>
  <si>
    <t>部件加工费</t>
  </si>
  <si>
    <t>单根价格</t>
  </si>
  <si>
    <t>16x1.1</t>
  </si>
  <si>
    <t>20x1.15</t>
  </si>
  <si>
    <t>20x1.2</t>
  </si>
  <si>
    <t>22x1.27</t>
  </si>
  <si>
    <t>25x1.5</t>
  </si>
  <si>
    <t>30x1.5</t>
  </si>
  <si>
    <t>40x2</t>
  </si>
  <si>
    <t>12*1.2</t>
  </si>
  <si>
    <t>宽度</t>
  </si>
  <si>
    <t>波高</t>
  </si>
  <si>
    <t>波距</t>
  </si>
  <si>
    <t>单波长</t>
  </si>
  <si>
    <t>输入中心距</t>
  </si>
  <si>
    <t>波数</t>
  </si>
  <si>
    <t>总波长</t>
  </si>
  <si>
    <t>厚度</t>
  </si>
  <si>
    <t>米重</t>
  </si>
  <si>
    <t>加工费</t>
  </si>
  <si>
    <t>喷锌加工费</t>
  </si>
  <si>
    <t>参考米重</t>
  </si>
  <si>
    <t>纸箱计算公式（m）</t>
  </si>
  <si>
    <t>100*4-18</t>
  </si>
  <si>
    <t>350</t>
  </si>
  <si>
    <t>（长+宽）*2+0.04=长</t>
  </si>
  <si>
    <t>结果</t>
  </si>
  <si>
    <t>18*2.5-10</t>
  </si>
  <si>
    <t>40</t>
  </si>
  <si>
    <t>纸箱长</t>
  </si>
  <si>
    <t>100*5-18</t>
  </si>
  <si>
    <t>441</t>
  </si>
  <si>
    <t>宽+高=宽</t>
  </si>
  <si>
    <t>104*4-28</t>
  </si>
  <si>
    <t>395</t>
  </si>
  <si>
    <t>纸箱宽</t>
  </si>
  <si>
    <t>12*1.2-12</t>
  </si>
  <si>
    <t>26</t>
  </si>
  <si>
    <t>12*1.3-10</t>
  </si>
  <si>
    <t>25</t>
  </si>
  <si>
    <t>12*1.4-10</t>
  </si>
  <si>
    <t>29</t>
  </si>
  <si>
    <t>长*宽*（7层纸箱单价6.8/5层纸箱单价5.5）</t>
  </si>
  <si>
    <t>12*1.4-12</t>
  </si>
  <si>
    <t>27</t>
  </si>
  <si>
    <t>7层纸箱</t>
  </si>
  <si>
    <t>12*1.4-16</t>
  </si>
  <si>
    <t>5层纸箱</t>
  </si>
  <si>
    <t>12*1.4-9</t>
  </si>
  <si>
    <t>12*1.5-9</t>
  </si>
  <si>
    <t>12*1.7-11</t>
  </si>
  <si>
    <t>30</t>
  </si>
  <si>
    <t>12*1.8-10</t>
  </si>
  <si>
    <t>12*1.8-11</t>
  </si>
  <si>
    <t>12*1.8-8</t>
  </si>
  <si>
    <t>34</t>
  </si>
  <si>
    <t>12.4*2.4-6</t>
  </si>
  <si>
    <t>15.5*2-8</t>
  </si>
  <si>
    <t>15.98*1.4-12</t>
  </si>
  <si>
    <t>35</t>
  </si>
  <si>
    <t>15.98*1.8-12</t>
  </si>
  <si>
    <t>42</t>
  </si>
  <si>
    <t>16*1.2-10</t>
  </si>
  <si>
    <t>33</t>
  </si>
  <si>
    <t>16*1.2-12</t>
  </si>
  <si>
    <t>16*1.2-13</t>
  </si>
  <si>
    <t>16*1.2-18</t>
  </si>
  <si>
    <t>38</t>
  </si>
  <si>
    <t>16*1.3-10</t>
  </si>
  <si>
    <t>16*1.3-12</t>
  </si>
  <si>
    <t>16*1.3-15</t>
  </si>
  <si>
    <t>16*1.3-16</t>
  </si>
  <si>
    <t>36</t>
  </si>
  <si>
    <t>16*1.3-18</t>
  </si>
  <si>
    <t>16*1.3-19</t>
  </si>
  <si>
    <t>16*1.35-12</t>
  </si>
  <si>
    <t>16*1.3-8</t>
  </si>
  <si>
    <t>31</t>
  </si>
  <si>
    <t>16*1.4-10</t>
  </si>
  <si>
    <t>16*1.4-12</t>
  </si>
  <si>
    <t>16*1.8-12</t>
  </si>
  <si>
    <t>49</t>
  </si>
  <si>
    <t>16*1.4-14</t>
  </si>
  <si>
    <t>16*1.4-16</t>
  </si>
  <si>
    <t>16*1.45-10</t>
  </si>
  <si>
    <t>16*1.5-18</t>
  </si>
  <si>
    <t>41</t>
  </si>
  <si>
    <t>16*1.7-10</t>
  </si>
  <si>
    <t>16*1.7-16</t>
  </si>
  <si>
    <t>16*1.8-10</t>
  </si>
  <si>
    <t>16*1.8-16</t>
  </si>
  <si>
    <t>16*1.8-19</t>
  </si>
  <si>
    <t>44</t>
  </si>
  <si>
    <t>16*1.8-8</t>
  </si>
  <si>
    <t>16*1.9-18</t>
  </si>
  <si>
    <t>16*11-2</t>
  </si>
  <si>
    <t>182</t>
  </si>
  <si>
    <t>16*1-14</t>
  </si>
  <si>
    <t>32</t>
  </si>
  <si>
    <t>16*2-10</t>
  </si>
  <si>
    <t>16*2-12</t>
  </si>
  <si>
    <t>16*2-14</t>
  </si>
  <si>
    <t>45</t>
  </si>
  <si>
    <t>43</t>
  </si>
  <si>
    <t>16*2-16</t>
  </si>
  <si>
    <t>46</t>
  </si>
  <si>
    <t>16*2-7</t>
  </si>
  <si>
    <t>16*2-8</t>
  </si>
  <si>
    <t>39</t>
  </si>
  <si>
    <t>16*2-9</t>
  </si>
  <si>
    <t>16*3.5-5</t>
  </si>
  <si>
    <t>48</t>
  </si>
  <si>
    <t>16*3-10</t>
  </si>
  <si>
    <t>16*3-14</t>
  </si>
  <si>
    <t>58</t>
  </si>
  <si>
    <t>16*3-6</t>
  </si>
  <si>
    <t>55</t>
  </si>
  <si>
    <t>16*4-9</t>
  </si>
  <si>
    <t>66</t>
  </si>
  <si>
    <t>16*5-10</t>
  </si>
  <si>
    <t>80</t>
  </si>
  <si>
    <t>16*5-11</t>
  </si>
  <si>
    <t>83</t>
  </si>
  <si>
    <t>16*5-13</t>
  </si>
  <si>
    <t>95</t>
  </si>
  <si>
    <t>16*5-14</t>
  </si>
  <si>
    <t>97</t>
  </si>
  <si>
    <t>16*5-4</t>
  </si>
  <si>
    <t>116</t>
  </si>
  <si>
    <t>16*5-8</t>
  </si>
  <si>
    <t>71</t>
  </si>
  <si>
    <t>16*8-4</t>
  </si>
  <si>
    <t>125</t>
  </si>
  <si>
    <t>16.02*1.82-10</t>
  </si>
  <si>
    <t>37</t>
  </si>
  <si>
    <t>16.05*2.02-9</t>
  </si>
  <si>
    <t>16.7*1.7-15</t>
  </si>
  <si>
    <t>17*1.4-12</t>
  </si>
  <si>
    <t>17*1.7-14</t>
  </si>
  <si>
    <t>17*1.7-8</t>
  </si>
  <si>
    <t>17*1.8-12</t>
  </si>
  <si>
    <t>17*1.8-14</t>
  </si>
  <si>
    <t>17*1.8-9</t>
  </si>
  <si>
    <t>17*1.9-10</t>
  </si>
  <si>
    <t>17.1*1.8-9</t>
  </si>
  <si>
    <t>17.2*1.8-9</t>
  </si>
  <si>
    <t>17.6*1.8-12</t>
  </si>
  <si>
    <t>17.6*2-14</t>
  </si>
  <si>
    <t>17.7*1.8-10</t>
  </si>
  <si>
    <t>17.7*1.8-14</t>
  </si>
  <si>
    <t>17.9*1.8-12</t>
  </si>
  <si>
    <t>17.9*2-8</t>
  </si>
  <si>
    <t>18*1.3-12</t>
  </si>
  <si>
    <t>18*1.7-7</t>
  </si>
  <si>
    <t>18*1.8-10</t>
  </si>
  <si>
    <t>75</t>
  </si>
  <si>
    <t>18*1.8-12</t>
  </si>
  <si>
    <t>18*1.8-13</t>
  </si>
  <si>
    <t>50</t>
  </si>
  <si>
    <t>18*1.8-14</t>
  </si>
  <si>
    <t>18*1.8-16</t>
  </si>
  <si>
    <t>18*1.8-18</t>
  </si>
  <si>
    <t>47</t>
  </si>
  <si>
    <t>18*1.8-19</t>
  </si>
  <si>
    <t>18*2-10</t>
  </si>
  <si>
    <t>18*2-15</t>
  </si>
  <si>
    <t>18*2-18</t>
  </si>
  <si>
    <t>18*2-6</t>
  </si>
  <si>
    <t>18*2-8</t>
  </si>
  <si>
    <t>18.82*1.93-16</t>
  </si>
  <si>
    <t>60</t>
  </si>
  <si>
    <t>20*1.2-15</t>
  </si>
  <si>
    <t>20*1.4-18</t>
  </si>
  <si>
    <t>51</t>
  </si>
  <si>
    <t>20*1.5-19</t>
  </si>
  <si>
    <t>20*1.8-10</t>
  </si>
  <si>
    <t>20*1.8-12</t>
  </si>
  <si>
    <t>20*1.8-19</t>
  </si>
  <si>
    <t>53</t>
  </si>
  <si>
    <t>20*12-3</t>
  </si>
  <si>
    <t>190</t>
  </si>
  <si>
    <t>20*2-10</t>
  </si>
  <si>
    <t>20*2-12</t>
  </si>
  <si>
    <t>20*2-13</t>
  </si>
  <si>
    <t>57</t>
  </si>
  <si>
    <t>20*2-15</t>
  </si>
  <si>
    <t>52</t>
  </si>
  <si>
    <t>20*2-16</t>
  </si>
  <si>
    <t>20*2-20</t>
  </si>
  <si>
    <t>65</t>
  </si>
  <si>
    <t>20*2-6</t>
  </si>
  <si>
    <t>20*2-8</t>
  </si>
  <si>
    <t>20*3.8-11</t>
  </si>
  <si>
    <t>90</t>
  </si>
  <si>
    <t>20*3-10</t>
  </si>
  <si>
    <t>69</t>
  </si>
  <si>
    <t>20*3-5</t>
  </si>
  <si>
    <t>68</t>
  </si>
  <si>
    <t>20*4.36-9</t>
  </si>
  <si>
    <t>123</t>
  </si>
  <si>
    <t>20.05*2.02-10</t>
  </si>
  <si>
    <t>21*2-10</t>
  </si>
  <si>
    <t>21.2*2-10</t>
  </si>
  <si>
    <t>17.9*1.8-10</t>
  </si>
  <si>
    <t>21.3*3-10</t>
  </si>
  <si>
    <t>22*1.4-13</t>
  </si>
  <si>
    <t>22*2-10</t>
  </si>
  <si>
    <t>70</t>
  </si>
  <si>
    <t>22*2-12</t>
  </si>
  <si>
    <t>22*2-6</t>
  </si>
  <si>
    <t>56</t>
  </si>
  <si>
    <t>22*3.6-9</t>
  </si>
  <si>
    <t>105</t>
  </si>
  <si>
    <t>22.5*2.3-17</t>
  </si>
  <si>
    <t>54</t>
  </si>
  <si>
    <t>23*1.7-20</t>
  </si>
  <si>
    <t>23.8*6.8-1</t>
  </si>
  <si>
    <t>155</t>
  </si>
  <si>
    <t>24*5-4</t>
  </si>
  <si>
    <t>163</t>
  </si>
  <si>
    <t>24.5*1.8-14</t>
  </si>
  <si>
    <t>25*2-10</t>
  </si>
  <si>
    <t>25*2-12</t>
  </si>
  <si>
    <t>25*2-14</t>
  </si>
  <si>
    <t>74</t>
  </si>
  <si>
    <t>64</t>
  </si>
  <si>
    <t>72</t>
  </si>
  <si>
    <t>25*2-18</t>
  </si>
  <si>
    <t>76</t>
  </si>
  <si>
    <t>61</t>
  </si>
  <si>
    <t>25*2-20</t>
  </si>
  <si>
    <t>77</t>
  </si>
  <si>
    <t>25.4*1.3-26</t>
  </si>
  <si>
    <t>25.4*2-10</t>
  </si>
  <si>
    <t>25.4*2-13</t>
  </si>
  <si>
    <t>25.4*2-15</t>
  </si>
  <si>
    <t>25.4*2-16</t>
  </si>
  <si>
    <t>25.4*2-20</t>
  </si>
  <si>
    <t>25.47*2-11</t>
  </si>
  <si>
    <t>25.47*2-15</t>
  </si>
  <si>
    <t>26*1.4-16</t>
  </si>
  <si>
    <t>26*2-10</t>
  </si>
  <si>
    <t>63</t>
  </si>
  <si>
    <t>26*2-12</t>
  </si>
  <si>
    <t>82</t>
  </si>
  <si>
    <t>26*2-13</t>
  </si>
  <si>
    <t>26*2-15</t>
  </si>
  <si>
    <t>26*2-16</t>
  </si>
  <si>
    <t>26*2-18</t>
  </si>
  <si>
    <t>26*2-21</t>
  </si>
  <si>
    <t>26*2-4</t>
  </si>
  <si>
    <t>26*2-8</t>
  </si>
  <si>
    <t>26*3-9</t>
  </si>
  <si>
    <t>28*2-26</t>
  </si>
  <si>
    <t>29*2-13</t>
  </si>
  <si>
    <t>30*4-22</t>
  </si>
  <si>
    <t>136</t>
  </si>
  <si>
    <t>135</t>
  </si>
  <si>
    <t>30*4-26</t>
  </si>
  <si>
    <t>149</t>
  </si>
  <si>
    <t>30.2*4.15-8</t>
  </si>
  <si>
    <t>32*1.8-10</t>
  </si>
  <si>
    <t>84</t>
  </si>
  <si>
    <t>32*2.05-25</t>
  </si>
  <si>
    <t>102</t>
  </si>
  <si>
    <t>32*2.5-22</t>
  </si>
  <si>
    <t>92</t>
  </si>
  <si>
    <t>32*2-10</t>
  </si>
  <si>
    <t>32*2-12</t>
  </si>
  <si>
    <t>87</t>
  </si>
  <si>
    <t>32*2-15</t>
  </si>
  <si>
    <t>88</t>
  </si>
  <si>
    <t>89</t>
  </si>
  <si>
    <t>86</t>
  </si>
  <si>
    <t>32*2-25</t>
  </si>
  <si>
    <t>32*2-7</t>
  </si>
  <si>
    <t>79</t>
  </si>
  <si>
    <t>32*6.4-6</t>
  </si>
  <si>
    <t>146</t>
  </si>
  <si>
    <t>34.8*3-10</t>
  </si>
  <si>
    <t>141</t>
  </si>
  <si>
    <t>35*3.5-15</t>
  </si>
  <si>
    <t>127</t>
  </si>
  <si>
    <t>36*2.98-9</t>
  </si>
  <si>
    <t>36*3-16</t>
  </si>
  <si>
    <t>36*3-23</t>
  </si>
  <si>
    <t>137</t>
  </si>
  <si>
    <t>36*4-7</t>
  </si>
  <si>
    <t>128</t>
  </si>
  <si>
    <t>36*5-6</t>
  </si>
  <si>
    <t>140</t>
  </si>
  <si>
    <t>36.6*6-10</t>
  </si>
  <si>
    <t>180</t>
  </si>
  <si>
    <t>37.45*1.8-24</t>
  </si>
  <si>
    <t>81</t>
  </si>
  <si>
    <t>38*1.8-28</t>
  </si>
  <si>
    <t>38*2-28</t>
  </si>
  <si>
    <t>85</t>
  </si>
  <si>
    <t>40*5-7</t>
  </si>
  <si>
    <t>187</t>
  </si>
  <si>
    <t>42*2-9</t>
  </si>
  <si>
    <t>45*3.5-6</t>
  </si>
  <si>
    <t>170</t>
  </si>
  <si>
    <t>48*3-8</t>
  </si>
  <si>
    <t>50*6.4-14</t>
  </si>
  <si>
    <t>260</t>
  </si>
  <si>
    <t>52*4-13</t>
  </si>
  <si>
    <t>210</t>
  </si>
  <si>
    <t>65*5-16</t>
  </si>
  <si>
    <t>340</t>
  </si>
  <si>
    <t>70*5-10</t>
  </si>
  <si>
    <t>250</t>
  </si>
  <si>
    <t>70*5-15</t>
  </si>
  <si>
    <t>413.5</t>
  </si>
  <si>
    <t>76*3.5-33</t>
  </si>
  <si>
    <t>300</t>
  </si>
  <si>
    <t>80*5-10</t>
  </si>
  <si>
    <t>280</t>
  </si>
  <si>
    <t>85*3-17</t>
  </si>
  <si>
    <t>284</t>
  </si>
  <si>
    <t>97*3-24</t>
  </si>
  <si>
    <t>410</t>
  </si>
  <si>
    <t>25.4*2-4</t>
  </si>
  <si>
    <t>16*1.4-11</t>
  </si>
  <si>
    <t>16*2-10不带内齿</t>
  </si>
  <si>
    <t>16.05*2.05-10</t>
  </si>
  <si>
    <t>18.3*1.8-14</t>
  </si>
  <si>
    <t>32*1.45-18</t>
  </si>
  <si>
    <t>16*2-19</t>
  </si>
  <si>
    <t>15.98*1-15</t>
  </si>
  <si>
    <t>16*1-15</t>
  </si>
  <si>
    <t>16*2.6-9</t>
  </si>
  <si>
    <t>20*4-6</t>
  </si>
  <si>
    <t>12*1.4-11</t>
  </si>
  <si>
    <t>32*1.45-22</t>
  </si>
  <si>
    <t>59</t>
  </si>
  <si>
    <t>17.6*1.8-14</t>
  </si>
  <si>
    <t>25*2-16</t>
  </si>
  <si>
    <t>20*1.4-16</t>
  </si>
  <si>
    <t>16*1.8-13</t>
  </si>
  <si>
    <t>16*1.8-18</t>
  </si>
  <si>
    <t>16*2-17</t>
  </si>
  <si>
    <t>12*1.4-13</t>
  </si>
  <si>
    <t>24</t>
  </si>
  <si>
    <t>15*2-9</t>
  </si>
  <si>
    <t>16*2-4</t>
  </si>
  <si>
    <t>16*2-8三角扁管</t>
  </si>
  <si>
    <t>22*1.7-18</t>
  </si>
  <si>
    <t>20*2.8-11</t>
  </si>
  <si>
    <t>67</t>
  </si>
  <si>
    <t>20*1.4-23</t>
  </si>
  <si>
    <t>25.47*2-4</t>
  </si>
  <si>
    <t>78</t>
  </si>
  <si>
    <t>14*2-3</t>
  </si>
  <si>
    <t>32*2-20</t>
  </si>
  <si>
    <t>25.4*2-11</t>
  </si>
  <si>
    <t>120</t>
  </si>
  <si>
    <t>80*1.5-20</t>
  </si>
  <si>
    <t>150</t>
  </si>
  <si>
    <t>12*2-8</t>
  </si>
  <si>
    <t>26*1.7-8</t>
  </si>
  <si>
    <t>16*4-6</t>
  </si>
  <si>
    <t>16*5-3</t>
  </si>
  <si>
    <t>60新</t>
  </si>
  <si>
    <t>20*4-4</t>
  </si>
  <si>
    <t>75新</t>
  </si>
  <si>
    <t>22*1.7-16</t>
  </si>
  <si>
    <t>12*1.4-15</t>
  </si>
  <si>
    <t>22*4-6</t>
  </si>
  <si>
    <t>91</t>
  </si>
  <si>
    <t>16*4-5</t>
  </si>
  <si>
    <t>12*1.7-14</t>
  </si>
  <si>
    <t>21.5*3-14</t>
  </si>
  <si>
    <t>16*1.4-18</t>
  </si>
  <si>
    <t>16*1.3-14</t>
  </si>
  <si>
    <t>17.6*1.7-14</t>
  </si>
  <si>
    <t>16.5*3-13</t>
  </si>
  <si>
    <t>62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</si>
</sst>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_ "/>
  </numFmts>
  <fonts count="28">
    <font>
      <sz val="12"/>
      <name val="宋体"/>
      <charset val="134"/>
    </font>
    <font>
      <sz val="11"/>
      <color theme="1"/>
      <name val="宋体"/>
      <charset val="134"/>
      <scheme val="minor"/>
    </font>
    <font>
      <sz val="18"/>
      <name val="宋体"/>
      <charset val="134"/>
    </font>
    <font>
      <sz val="11"/>
      <name val="宋体"/>
      <charset val="134"/>
    </font>
    <font>
      <sz val="9"/>
      <name val="宋体"/>
      <charset val="134"/>
    </font>
    <font>
      <b/>
      <sz val="24"/>
      <name val="宋体"/>
      <charset val="134"/>
    </font>
    <font>
      <sz val="20"/>
      <name val="宋体"/>
      <charset val="134"/>
    </font>
    <font>
      <b/>
      <sz val="11"/>
      <name val="宋体"/>
      <charset val="134"/>
    </font>
    <font>
      <sz val="9"/>
      <color indexed="8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10"/>
      <name val="宋体"/>
      <charset val="134"/>
    </font>
    <font>
      <b/>
      <sz val="18"/>
      <color indexed="56"/>
      <name val="宋体"/>
      <charset val="134"/>
    </font>
    <font>
      <i/>
      <sz val="11"/>
      <color indexed="23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</fonts>
  <fills count="32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2" borderId="2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8" applyNumberFormat="0" applyFill="0" applyAlignment="0" applyProtection="0">
      <alignment vertical="center"/>
    </xf>
    <xf numFmtId="0" fontId="15" fillId="0" borderId="29" applyNumberFormat="0" applyFill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3" borderId="31" applyNumberFormat="0" applyAlignment="0" applyProtection="0">
      <alignment vertical="center"/>
    </xf>
    <xf numFmtId="0" fontId="18" fillId="14" borderId="32" applyNumberFormat="0" applyAlignment="0" applyProtection="0">
      <alignment vertical="center"/>
    </xf>
    <xf numFmtId="0" fontId="19" fillId="14" borderId="31" applyNumberFormat="0" applyAlignment="0" applyProtection="0">
      <alignment vertical="center"/>
    </xf>
    <xf numFmtId="0" fontId="20" fillId="15" borderId="33" applyNumberFormat="0" applyAlignment="0" applyProtection="0">
      <alignment vertical="center"/>
    </xf>
    <xf numFmtId="0" fontId="21" fillId="0" borderId="34" applyNumberFormat="0" applyFill="0" applyAlignment="0" applyProtection="0">
      <alignment vertical="center"/>
    </xf>
    <xf numFmtId="0" fontId="22" fillId="0" borderId="35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0" fillId="0" borderId="0">
      <alignment vertical="top"/>
    </xf>
    <xf numFmtId="0" fontId="0" fillId="0" borderId="0">
      <alignment vertical="top"/>
    </xf>
  </cellStyleXfs>
  <cellXfs count="97">
    <xf numFmtId="0" fontId="0" fillId="0" borderId="0" xfId="0"/>
    <xf numFmtId="0" fontId="0" fillId="0" borderId="0" xfId="0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177" fontId="0" fillId="0" borderId="0" xfId="0" applyNumberFormat="1" applyFont="1" applyFill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NumberFormat="1" applyFont="1" applyFill="1" applyBorder="1" applyAlignment="1">
      <alignment horizontal="center" vertical="center"/>
    </xf>
    <xf numFmtId="176" fontId="0" fillId="3" borderId="0" xfId="0" applyNumberFormat="1" applyFill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176" fontId="0" fillId="4" borderId="1" xfId="0" applyNumberFormat="1" applyFont="1" applyFill="1" applyBorder="1" applyAlignment="1">
      <alignment horizontal="center" vertical="center"/>
    </xf>
    <xf numFmtId="177" fontId="0" fillId="4" borderId="1" xfId="0" applyNumberFormat="1" applyFont="1" applyFill="1" applyBorder="1" applyAlignment="1">
      <alignment horizontal="center" vertical="center"/>
    </xf>
    <xf numFmtId="176" fontId="0" fillId="4" borderId="1" xfId="0" applyNumberFormat="1" applyFill="1" applyBorder="1" applyAlignment="1">
      <alignment horizontal="center" vertical="center"/>
    </xf>
    <xf numFmtId="0" fontId="0" fillId="5" borderId="1" xfId="0" applyNumberFormat="1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0" fontId="0" fillId="5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0" xfId="0" applyFill="1" applyAlignment="1" applyProtection="1">
      <alignment horizontal="center" vertical="center"/>
      <protection locked="0"/>
    </xf>
    <xf numFmtId="176" fontId="0" fillId="0" borderId="2" xfId="0" applyNumberFormat="1" applyFill="1" applyBorder="1" applyAlignment="1">
      <alignment horizontal="center" vertical="center"/>
    </xf>
    <xf numFmtId="177" fontId="0" fillId="0" borderId="1" xfId="0" applyNumberFormat="1" applyFont="1" applyFill="1" applyBorder="1" applyAlignment="1">
      <alignment horizontal="center" vertical="center"/>
    </xf>
    <xf numFmtId="177" fontId="0" fillId="7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5" fillId="0" borderId="0" xfId="0" applyFont="1" applyBorder="1" applyAlignment="1">
      <alignment horizontal="right" vertical="center"/>
    </xf>
    <xf numFmtId="0" fontId="5" fillId="0" borderId="0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77" fontId="0" fillId="0" borderId="1" xfId="0" applyNumberFormat="1" applyFont="1" applyBorder="1" applyAlignment="1">
      <alignment horizontal="center" vertical="center"/>
    </xf>
    <xf numFmtId="177" fontId="0" fillId="0" borderId="16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77" fontId="4" fillId="11" borderId="2" xfId="0" applyNumberFormat="1" applyFont="1" applyFill="1" applyBorder="1" applyAlignment="1">
      <alignment horizontal="center" vertical="center"/>
    </xf>
    <xf numFmtId="177" fontId="8" fillId="11" borderId="2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177" fontId="4" fillId="11" borderId="21" xfId="0" applyNumberFormat="1" applyFont="1" applyFill="1" applyBorder="1" applyAlignment="1">
      <alignment horizontal="center" vertical="center"/>
    </xf>
    <xf numFmtId="177" fontId="0" fillId="0" borderId="19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0" fontId="2" fillId="11" borderId="0" xfId="0" applyFont="1" applyFill="1" applyBorder="1" applyAlignment="1">
      <alignment vertical="center"/>
    </xf>
    <xf numFmtId="177" fontId="0" fillId="0" borderId="0" xfId="0" applyNumberForma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177" fontId="0" fillId="0" borderId="18" xfId="0" applyNumberFormat="1" applyFont="1" applyBorder="1" applyAlignment="1">
      <alignment horizontal="center" vertical="center"/>
    </xf>
    <xf numFmtId="177" fontId="0" fillId="0" borderId="25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11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77" fontId="0" fillId="0" borderId="20" xfId="0" applyNumberFormat="1" applyFont="1" applyBorder="1" applyAlignment="1">
      <alignment horizontal="center" vertical="center"/>
    </xf>
    <xf numFmtId="177" fontId="0" fillId="0" borderId="26" xfId="0" applyNumberFormat="1" applyFont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9" defaultPivotStyle="PivotStyleLight16"/>
  <colors>
    <mruColors>
      <color rgb="00FFC000"/>
      <color rgb="00FF0000"/>
      <color rgb="0000B050"/>
      <color rgb="00CCCCFF"/>
      <color rgb="0099CCFF"/>
      <color rgb="00008000"/>
      <color rgb="00FFFFFF"/>
      <color rgb="00FFFF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29"/>
  <sheetViews>
    <sheetView tabSelected="1" zoomScaleSheetLayoutView="60" topLeftCell="A4" workbookViewId="0">
      <selection activeCell="N20" sqref="N20"/>
    </sheetView>
  </sheetViews>
  <sheetFormatPr defaultColWidth="9" defaultRowHeight="15.6"/>
  <cols>
    <col min="1" max="1" width="4.5" style="40" customWidth="1"/>
    <col min="2" max="2" width="13.3333333333333" style="40" customWidth="1"/>
    <col min="3" max="3" width="17.25" style="40" customWidth="1"/>
    <col min="4" max="4" width="10.8333333333333" style="40" customWidth="1"/>
    <col min="5" max="5" width="9.08333333333333" style="40" customWidth="1"/>
    <col min="6" max="6" width="5.58333333333333" style="40" customWidth="1"/>
    <col min="7" max="7" width="9.83333333333333" style="41" customWidth="1"/>
    <col min="8" max="9" width="7" style="41" customWidth="1"/>
    <col min="10" max="10" width="7" style="40" customWidth="1"/>
    <col min="11" max="16384" width="9" style="40"/>
  </cols>
  <sheetData>
    <row r="1" s="36" customFormat="1" ht="18.75" customHeight="1" spans="1:10">
      <c r="A1" s="42"/>
      <c r="B1" s="42"/>
      <c r="C1" s="42"/>
      <c r="D1" s="43" t="s">
        <v>0</v>
      </c>
      <c r="E1" s="44"/>
      <c r="F1" s="45" t="s">
        <v>1</v>
      </c>
      <c r="G1" s="46"/>
      <c r="H1" s="47" t="s">
        <v>2</v>
      </c>
      <c r="I1" s="47" t="s">
        <v>3</v>
      </c>
      <c r="J1" s="87" t="s">
        <v>4</v>
      </c>
    </row>
    <row r="2" s="36" customFormat="1" ht="29.25" customHeight="1" spans="1:10">
      <c r="A2" s="42"/>
      <c r="B2" s="42"/>
      <c r="C2" s="42"/>
      <c r="D2" s="43"/>
      <c r="E2" s="44"/>
      <c r="F2" s="48"/>
      <c r="G2" s="49"/>
      <c r="H2" s="50">
        <v>605</v>
      </c>
      <c r="I2" s="50">
        <v>341.5</v>
      </c>
      <c r="J2" s="88">
        <v>12</v>
      </c>
    </row>
    <row r="3" s="37" customFormat="1" ht="25.5" customHeight="1" spans="1:10">
      <c r="A3" s="51" t="s">
        <v>5</v>
      </c>
      <c r="B3" s="51"/>
      <c r="C3" s="51"/>
      <c r="D3" s="52"/>
      <c r="E3" s="52"/>
      <c r="F3" s="53" t="s">
        <v>6</v>
      </c>
      <c r="G3" s="53"/>
      <c r="H3" s="37">
        <v>16</v>
      </c>
      <c r="I3" s="52"/>
      <c r="J3" s="52"/>
    </row>
    <row r="4" ht="20.15" customHeight="1" spans="1:10">
      <c r="A4" s="54" t="s">
        <v>7</v>
      </c>
      <c r="B4" s="55" t="s">
        <v>8</v>
      </c>
      <c r="C4" s="56" t="s">
        <v>9</v>
      </c>
      <c r="D4" s="57"/>
      <c r="E4" s="57"/>
      <c r="F4" s="57"/>
      <c r="G4" s="58"/>
      <c r="H4" s="56" t="s">
        <v>10</v>
      </c>
      <c r="I4" s="57"/>
      <c r="J4" s="89"/>
    </row>
    <row r="5" ht="20.15" customHeight="1" spans="1:11">
      <c r="A5" s="59"/>
      <c r="B5" s="60"/>
      <c r="C5" s="61" t="s">
        <v>11</v>
      </c>
      <c r="D5" s="61" t="s">
        <v>12</v>
      </c>
      <c r="E5" s="61" t="s">
        <v>13</v>
      </c>
      <c r="F5" s="61" t="s">
        <v>14</v>
      </c>
      <c r="G5" s="62" t="s">
        <v>15</v>
      </c>
      <c r="H5" s="63"/>
      <c r="I5" s="90"/>
      <c r="J5" s="91"/>
      <c r="K5" s="92"/>
    </row>
    <row r="6" s="38" customFormat="1" ht="20.15" customHeight="1" spans="1:11">
      <c r="A6" s="64">
        <v>1</v>
      </c>
      <c r="B6" s="65" t="s">
        <v>16</v>
      </c>
      <c r="C6" s="65" t="s">
        <v>17</v>
      </c>
      <c r="D6" s="65" t="s">
        <v>18</v>
      </c>
      <c r="E6" s="66"/>
      <c r="F6" s="65">
        <v>2</v>
      </c>
      <c r="G6" s="67">
        <v>7</v>
      </c>
      <c r="H6" s="63"/>
      <c r="I6" s="90"/>
      <c r="J6" s="91"/>
      <c r="K6" s="93"/>
    </row>
    <row r="7" s="38" customFormat="1" ht="20.15" customHeight="1" spans="1:11">
      <c r="A7" s="64">
        <v>2</v>
      </c>
      <c r="B7" s="65" t="s">
        <v>19</v>
      </c>
      <c r="C7" s="65" t="s">
        <v>20</v>
      </c>
      <c r="D7" s="65"/>
      <c r="E7" s="66">
        <v>0.28</v>
      </c>
      <c r="F7" s="65">
        <v>33</v>
      </c>
      <c r="G7" s="67">
        <f>F7*E7</f>
        <v>9.24</v>
      </c>
      <c r="H7" s="63"/>
      <c r="I7" s="90"/>
      <c r="J7" s="91"/>
      <c r="K7" s="93"/>
    </row>
    <row r="8" s="38" customFormat="1" ht="20.15" customHeight="1" spans="1:11">
      <c r="A8" s="64">
        <v>3</v>
      </c>
      <c r="B8" s="66" t="s">
        <v>21</v>
      </c>
      <c r="C8" s="66" t="s">
        <v>22</v>
      </c>
      <c r="D8" s="66" t="s">
        <v>23</v>
      </c>
      <c r="E8" s="66">
        <v>0.78</v>
      </c>
      <c r="F8" s="66">
        <v>34</v>
      </c>
      <c r="G8" s="67">
        <f>F8*E8</f>
        <v>26.52</v>
      </c>
      <c r="H8" s="63"/>
      <c r="I8" s="90"/>
      <c r="J8" s="91"/>
      <c r="K8" s="93"/>
    </row>
    <row r="9" s="38" customFormat="1" ht="20.15" customHeight="1" spans="1:11">
      <c r="A9" s="64">
        <v>4</v>
      </c>
      <c r="B9" s="65" t="s">
        <v>24</v>
      </c>
      <c r="C9" s="65">
        <v>3003</v>
      </c>
      <c r="D9" s="65" t="s">
        <v>25</v>
      </c>
      <c r="E9" s="66"/>
      <c r="F9" s="65">
        <v>2</v>
      </c>
      <c r="G9" s="67">
        <v>6</v>
      </c>
      <c r="H9" s="63"/>
      <c r="I9" s="90"/>
      <c r="J9" s="91"/>
      <c r="K9" s="93"/>
    </row>
    <row r="10" s="38" customFormat="1" ht="20.15" customHeight="1" spans="1:11">
      <c r="A10" s="64">
        <v>5</v>
      </c>
      <c r="B10" s="65" t="s">
        <v>26</v>
      </c>
      <c r="C10" s="65" t="s">
        <v>27</v>
      </c>
      <c r="D10" s="65" t="s">
        <v>25</v>
      </c>
      <c r="E10" s="66"/>
      <c r="F10" s="65">
        <v>4</v>
      </c>
      <c r="G10" s="67">
        <v>0.8</v>
      </c>
      <c r="H10" s="63"/>
      <c r="I10" s="90"/>
      <c r="J10" s="91" t="s">
        <v>28</v>
      </c>
      <c r="K10" s="93"/>
    </row>
    <row r="11" s="38" customFormat="1" ht="20.15" customHeight="1" spans="1:11">
      <c r="A11" s="64">
        <v>6</v>
      </c>
      <c r="B11" s="65" t="s">
        <v>29</v>
      </c>
      <c r="C11" s="65" t="s">
        <v>27</v>
      </c>
      <c r="D11" s="65" t="s">
        <v>25</v>
      </c>
      <c r="E11" s="66"/>
      <c r="F11" s="65">
        <v>4</v>
      </c>
      <c r="G11" s="67">
        <v>0.8</v>
      </c>
      <c r="H11" s="63"/>
      <c r="I11" s="90"/>
      <c r="J11" s="91" t="s">
        <v>30</v>
      </c>
      <c r="K11" s="93"/>
    </row>
    <row r="12" s="38" customFormat="1" ht="20.15" customHeight="1" spans="1:11">
      <c r="A12" s="64">
        <v>7</v>
      </c>
      <c r="B12" s="66" t="s">
        <v>31</v>
      </c>
      <c r="C12" s="66" t="s">
        <v>32</v>
      </c>
      <c r="D12" s="66"/>
      <c r="E12" s="66"/>
      <c r="F12" s="66">
        <v>3</v>
      </c>
      <c r="G12" s="67">
        <v>9</v>
      </c>
      <c r="H12" s="63"/>
      <c r="I12" s="90"/>
      <c r="J12" s="91"/>
      <c r="K12" s="93"/>
    </row>
    <row r="13" s="38" customFormat="1" ht="20.15" customHeight="1" spans="1:11">
      <c r="A13" s="64">
        <v>8</v>
      </c>
      <c r="B13" s="66" t="s">
        <v>33</v>
      </c>
      <c r="C13" s="66" t="s">
        <v>32</v>
      </c>
      <c r="D13" s="66"/>
      <c r="E13" s="66"/>
      <c r="F13" s="66">
        <v>1</v>
      </c>
      <c r="G13" s="68">
        <v>4.2</v>
      </c>
      <c r="H13" s="63"/>
      <c r="I13" s="90"/>
      <c r="J13" s="91"/>
      <c r="K13" s="93"/>
    </row>
    <row r="14" s="38" customFormat="1" ht="20.15" customHeight="1" spans="1:11">
      <c r="A14" s="64">
        <v>9</v>
      </c>
      <c r="B14" s="66" t="s">
        <v>34</v>
      </c>
      <c r="C14" s="66" t="s">
        <v>32</v>
      </c>
      <c r="D14" s="66"/>
      <c r="E14" s="66"/>
      <c r="F14" s="66">
        <v>1</v>
      </c>
      <c r="G14" s="68">
        <v>3.8</v>
      </c>
      <c r="H14" s="63"/>
      <c r="I14" s="90"/>
      <c r="J14" s="91"/>
      <c r="K14" s="93"/>
    </row>
    <row r="15" s="39" customFormat="1" ht="20.15" customHeight="1" spans="1:11">
      <c r="A15" s="64">
        <v>10</v>
      </c>
      <c r="B15" s="65" t="s">
        <v>35</v>
      </c>
      <c r="C15" s="69" t="s">
        <v>36</v>
      </c>
      <c r="D15" s="66"/>
      <c r="E15" s="66"/>
      <c r="F15" s="65">
        <v>1</v>
      </c>
      <c r="G15" s="67">
        <v>21</v>
      </c>
      <c r="H15" s="63"/>
      <c r="I15" s="90"/>
      <c r="J15" s="91"/>
      <c r="K15" s="94"/>
    </row>
    <row r="16" s="38" customFormat="1" ht="20.15" customHeight="1" spans="1:11">
      <c r="A16" s="64">
        <v>11</v>
      </c>
      <c r="B16" s="66" t="s">
        <v>37</v>
      </c>
      <c r="C16" s="66"/>
      <c r="D16" s="66"/>
      <c r="E16" s="66"/>
      <c r="F16" s="66">
        <v>1</v>
      </c>
      <c r="G16" s="67">
        <v>2</v>
      </c>
      <c r="H16" s="63"/>
      <c r="I16" s="90"/>
      <c r="J16" s="91"/>
      <c r="K16" s="93"/>
    </row>
    <row r="17" ht="20.15" customHeight="1" spans="1:10">
      <c r="A17" s="64">
        <v>14</v>
      </c>
      <c r="B17" s="65" t="s">
        <v>38</v>
      </c>
      <c r="C17" s="66" t="s">
        <v>39</v>
      </c>
      <c r="D17" s="66" t="s">
        <v>40</v>
      </c>
      <c r="E17" s="66"/>
      <c r="F17" s="66">
        <v>1</v>
      </c>
      <c r="G17" s="67">
        <v>11</v>
      </c>
      <c r="H17" s="63"/>
      <c r="I17" s="90"/>
      <c r="J17" s="91"/>
    </row>
    <row r="18" ht="20.15" customHeight="1" spans="1:10">
      <c r="A18" s="64">
        <v>15</v>
      </c>
      <c r="B18" s="70" t="s">
        <v>41</v>
      </c>
      <c r="C18" s="71"/>
      <c r="D18" s="71"/>
      <c r="E18" s="71"/>
      <c r="F18" s="72"/>
      <c r="G18" s="67">
        <f>SUM(G6:G17)</f>
        <v>101.36</v>
      </c>
      <c r="H18" s="63"/>
      <c r="I18" s="90"/>
      <c r="J18" s="91"/>
    </row>
    <row r="19" s="38" customFormat="1" ht="20.15" customHeight="1" spans="1:11">
      <c r="A19" s="64">
        <v>16</v>
      </c>
      <c r="B19" s="73" t="s">
        <v>42</v>
      </c>
      <c r="C19" s="74"/>
      <c r="D19" s="74"/>
      <c r="E19" s="74"/>
      <c r="F19" s="75"/>
      <c r="G19" s="67">
        <v>25</v>
      </c>
      <c r="H19" s="63"/>
      <c r="I19" s="90"/>
      <c r="J19" s="91"/>
      <c r="K19" s="93"/>
    </row>
    <row r="20" s="38" customFormat="1" ht="20.15" customHeight="1" spans="1:11">
      <c r="A20" s="64">
        <v>17</v>
      </c>
      <c r="B20" s="73" t="s">
        <v>43</v>
      </c>
      <c r="C20" s="74"/>
      <c r="D20" s="74"/>
      <c r="E20" s="74"/>
      <c r="F20" s="75"/>
      <c r="G20" s="67">
        <f>(G18+G19)*0.1</f>
        <v>12.636</v>
      </c>
      <c r="H20" s="63"/>
      <c r="I20" s="90"/>
      <c r="J20" s="91"/>
      <c r="K20" s="93"/>
    </row>
    <row r="21" s="38" customFormat="1" ht="20.15" customHeight="1" spans="1:11">
      <c r="A21" s="64">
        <v>18</v>
      </c>
      <c r="B21" s="73" t="s">
        <v>44</v>
      </c>
      <c r="C21" s="74"/>
      <c r="D21" s="74"/>
      <c r="E21" s="74"/>
      <c r="F21" s="75"/>
      <c r="G21" s="67">
        <v>4</v>
      </c>
      <c r="H21" s="63"/>
      <c r="I21" s="90"/>
      <c r="J21" s="91"/>
      <c r="K21" s="93"/>
    </row>
    <row r="22" s="38" customFormat="1" ht="20.15" customHeight="1" spans="1:11">
      <c r="A22" s="76">
        <v>19</v>
      </c>
      <c r="B22" s="77" t="s">
        <v>45</v>
      </c>
      <c r="C22" s="78"/>
      <c r="D22" s="78"/>
      <c r="E22" s="78"/>
      <c r="F22" s="79"/>
      <c r="G22" s="80">
        <f>SUM(G18:G21)</f>
        <v>142.996</v>
      </c>
      <c r="H22" s="81"/>
      <c r="I22" s="95"/>
      <c r="J22" s="96"/>
      <c r="K22" s="93"/>
    </row>
    <row r="23" ht="69.75" customHeight="1" spans="1:10">
      <c r="A23" s="82" t="s">
        <v>46</v>
      </c>
      <c r="B23" s="82"/>
      <c r="C23" s="83"/>
      <c r="D23" s="84" t="s">
        <v>47</v>
      </c>
      <c r="E23" s="84"/>
      <c r="F23" s="84"/>
      <c r="G23" s="85" t="s">
        <v>48</v>
      </c>
      <c r="H23" s="85"/>
      <c r="I23" s="85"/>
      <c r="J23" s="85"/>
    </row>
    <row r="24" spans="7:9">
      <c r="G24" s="86"/>
      <c r="H24" s="86"/>
      <c r="I24" s="86"/>
    </row>
    <row r="25" spans="7:9">
      <c r="G25" s="86"/>
      <c r="H25" s="86"/>
      <c r="I25" s="86"/>
    </row>
    <row r="26" spans="7:9">
      <c r="G26" s="86"/>
      <c r="H26" s="86"/>
      <c r="I26" s="86"/>
    </row>
    <row r="27" spans="7:9">
      <c r="G27" s="86"/>
      <c r="H27" s="86"/>
      <c r="I27" s="86"/>
    </row>
    <row r="28" spans="7:9">
      <c r="G28" s="86"/>
      <c r="H28" s="86"/>
      <c r="I28" s="86"/>
    </row>
    <row r="29" spans="7:9">
      <c r="G29" s="86"/>
      <c r="H29" s="86"/>
      <c r="I29" s="86"/>
    </row>
  </sheetData>
  <mergeCells count="33">
    <mergeCell ref="A3:C3"/>
    <mergeCell ref="F3:G3"/>
    <mergeCell ref="C4:G4"/>
    <mergeCell ref="H4:J4"/>
    <mergeCell ref="H5:J5"/>
    <mergeCell ref="H6:J6"/>
    <mergeCell ref="H7:J7"/>
    <mergeCell ref="H8:J8"/>
    <mergeCell ref="H9:J9"/>
    <mergeCell ref="H10:J10"/>
    <mergeCell ref="H11:J11"/>
    <mergeCell ref="H12:J12"/>
    <mergeCell ref="H13:J13"/>
    <mergeCell ref="H14:J14"/>
    <mergeCell ref="H15:J15"/>
    <mergeCell ref="H16:J16"/>
    <mergeCell ref="H17:J17"/>
    <mergeCell ref="B18:F18"/>
    <mergeCell ref="H18:J18"/>
    <mergeCell ref="B19:F19"/>
    <mergeCell ref="H19:J19"/>
    <mergeCell ref="B20:F20"/>
    <mergeCell ref="H20:J20"/>
    <mergeCell ref="B21:F21"/>
    <mergeCell ref="H21:J21"/>
    <mergeCell ref="B22:F22"/>
    <mergeCell ref="H22:J22"/>
    <mergeCell ref="A23:B23"/>
    <mergeCell ref="A4:A5"/>
    <mergeCell ref="B4:B5"/>
    <mergeCell ref="A1:C2"/>
    <mergeCell ref="D1:E2"/>
    <mergeCell ref="F1:G2"/>
  </mergeCells>
  <printOptions horizontalCentered="1"/>
  <pageMargins left="0.24" right="0.24" top="1.18" bottom="0.75" header="0.31" footer="0.31"/>
  <pageSetup paperSize="9" orientation="portrait" horizontalDpi="600" verticalDpi="600"/>
  <headerFooter alignWithMargins="0">
    <oddHeader>&amp;L常州市中辉汽车部件制造有限公司&amp;R表单编号：ZH/CW-001-A/0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66"/>
  <sheetViews>
    <sheetView zoomScaleSheetLayoutView="60" workbookViewId="0">
      <selection activeCell="G3" sqref="G3"/>
    </sheetView>
  </sheetViews>
  <sheetFormatPr defaultColWidth="9" defaultRowHeight="15" customHeight="1"/>
  <cols>
    <col min="1" max="1" width="17.0833333333333" style="1" customWidth="1"/>
    <col min="2" max="2" width="12.3333333333333" style="1" customWidth="1"/>
    <col min="3" max="3" width="18.75" style="2" customWidth="1"/>
    <col min="4" max="4" width="15.5" style="3" customWidth="1"/>
    <col min="5" max="5" width="12.0833333333333" style="1" customWidth="1"/>
    <col min="6" max="6" width="11" style="2" customWidth="1"/>
    <col min="7" max="7" width="23.25" style="1" customWidth="1"/>
    <col min="8" max="8" width="24.5833333333333" style="1" customWidth="1"/>
    <col min="9" max="9" width="15.25" style="4" customWidth="1"/>
    <col min="10" max="10" width="15.0833333333333" style="1" customWidth="1"/>
    <col min="11" max="11" width="14.3333333333333" style="1" customWidth="1"/>
    <col min="12" max="15" width="9" style="1"/>
    <col min="16" max="17" width="11.0833333333333" style="1" customWidth="1"/>
    <col min="18" max="18" width="9" style="1"/>
    <col min="19" max="19" width="11.75" style="1" customWidth="1"/>
    <col min="20" max="20" width="12" style="1" customWidth="1"/>
    <col min="21" max="21" width="11.75" style="1" customWidth="1"/>
    <col min="22" max="22" width="12" style="1" customWidth="1"/>
    <col min="23" max="16384" width="9" style="1"/>
  </cols>
  <sheetData>
    <row r="1" customHeight="1" spans="1:2">
      <c r="A1" s="5" t="s">
        <v>49</v>
      </c>
      <c r="B1" s="6" t="s">
        <v>50</v>
      </c>
    </row>
    <row r="2" customHeight="1" spans="1:9">
      <c r="A2" s="7" t="s">
        <v>51</v>
      </c>
      <c r="B2" s="8">
        <v>20.2</v>
      </c>
      <c r="C2" s="9" t="s">
        <v>52</v>
      </c>
      <c r="D2" s="9"/>
      <c r="I2" s="1"/>
    </row>
    <row r="3" customHeight="1" spans="1:9">
      <c r="A3" s="5" t="s">
        <v>53</v>
      </c>
      <c r="B3" s="10">
        <v>1</v>
      </c>
      <c r="I3" s="1"/>
    </row>
    <row r="4" customHeight="1" spans="1:9">
      <c r="A4" s="5" t="s">
        <v>54</v>
      </c>
      <c r="B4" s="10">
        <v>1.02</v>
      </c>
      <c r="I4" s="1"/>
    </row>
    <row r="6" customHeight="1" spans="1:9">
      <c r="A6" s="6" t="s">
        <v>55</v>
      </c>
      <c r="B6" s="6" t="s">
        <v>12</v>
      </c>
      <c r="C6" s="11" t="s">
        <v>56</v>
      </c>
      <c r="D6" s="7" t="s">
        <v>57</v>
      </c>
      <c r="E6" s="12" t="s">
        <v>58</v>
      </c>
      <c r="F6" s="6" t="s">
        <v>59</v>
      </c>
      <c r="G6" s="6" t="s">
        <v>60</v>
      </c>
      <c r="H6" s="13" t="s">
        <v>61</v>
      </c>
      <c r="I6" s="1"/>
    </row>
    <row r="7" customHeight="1" spans="1:9">
      <c r="A7" s="5" t="s">
        <v>16</v>
      </c>
      <c r="B7" s="5" t="s">
        <v>62</v>
      </c>
      <c r="C7" s="11">
        <v>47.1239</v>
      </c>
      <c r="D7" s="7">
        <v>326</v>
      </c>
      <c r="E7" s="14">
        <f t="shared" ref="E7:E14" si="0">C7*D7*$B$3*$B$4*2.75/1000000</f>
        <v>0.043091507877</v>
      </c>
      <c r="F7" s="6">
        <v>16.5</v>
      </c>
      <c r="G7" s="6"/>
      <c r="H7" s="13">
        <f t="shared" ref="H7:H14" si="1">$E7*($F7+$B$2)+$G7</f>
        <v>1.5814583390859</v>
      </c>
      <c r="I7" s="1"/>
    </row>
    <row r="8" customHeight="1" spans="1:9">
      <c r="A8" s="5"/>
      <c r="B8" s="5" t="s">
        <v>63</v>
      </c>
      <c r="C8" s="11">
        <v>68.1019</v>
      </c>
      <c r="D8" s="7">
        <v>364</v>
      </c>
      <c r="E8" s="14">
        <f t="shared" si="0"/>
        <v>0.069533401938</v>
      </c>
      <c r="F8" s="6">
        <v>16.5</v>
      </c>
      <c r="G8" s="6"/>
      <c r="H8" s="13">
        <f t="shared" si="1"/>
        <v>2.5518758511246</v>
      </c>
      <c r="I8" s="1"/>
    </row>
    <row r="9" customHeight="1" spans="1:9">
      <c r="A9" s="5"/>
      <c r="B9" s="5" t="s">
        <v>64</v>
      </c>
      <c r="C9" s="11"/>
      <c r="D9" s="7">
        <v>326.7</v>
      </c>
      <c r="E9" s="14">
        <f t="shared" si="0"/>
        <v>0</v>
      </c>
      <c r="F9" s="6">
        <v>16.5</v>
      </c>
      <c r="G9" s="6"/>
      <c r="H9" s="13">
        <f t="shared" si="1"/>
        <v>0</v>
      </c>
      <c r="I9" s="1"/>
    </row>
    <row r="10" customHeight="1" spans="1:9">
      <c r="A10" s="5"/>
      <c r="B10" s="5" t="s">
        <v>65</v>
      </c>
      <c r="C10" s="11">
        <v>82.709</v>
      </c>
      <c r="D10" s="7">
        <v>0</v>
      </c>
      <c r="E10" s="14">
        <f t="shared" si="0"/>
        <v>0</v>
      </c>
      <c r="F10" s="6">
        <v>16.5</v>
      </c>
      <c r="G10" s="6"/>
      <c r="H10" s="13">
        <f t="shared" si="1"/>
        <v>0</v>
      </c>
      <c r="I10" s="1"/>
    </row>
    <row r="11" customHeight="1" spans="1:9">
      <c r="A11" s="5"/>
      <c r="B11" s="5" t="s">
        <v>66</v>
      </c>
      <c r="C11" s="11">
        <v>110.684</v>
      </c>
      <c r="D11" s="7">
        <v>325</v>
      </c>
      <c r="E11" s="14">
        <f t="shared" si="0"/>
        <v>0.1009023015</v>
      </c>
      <c r="F11" s="6">
        <v>16.5</v>
      </c>
      <c r="G11" s="6"/>
      <c r="H11" s="13">
        <f t="shared" si="1"/>
        <v>3.70311446505</v>
      </c>
      <c r="I11" s="1">
        <v>0.0503</v>
      </c>
    </row>
    <row r="12" customHeight="1" spans="1:9">
      <c r="A12" s="5"/>
      <c r="B12" s="5" t="s">
        <v>67</v>
      </c>
      <c r="C12" s="11">
        <v>150</v>
      </c>
      <c r="D12" s="7">
        <v>467</v>
      </c>
      <c r="E12" s="14">
        <f t="shared" si="0"/>
        <v>0.19649025</v>
      </c>
      <c r="F12" s="6">
        <v>16.5</v>
      </c>
      <c r="G12" s="6"/>
      <c r="H12" s="13">
        <f t="shared" si="1"/>
        <v>7.211192175</v>
      </c>
      <c r="I12" s="1"/>
    </row>
    <row r="13" customHeight="1" spans="1:9">
      <c r="A13" s="5"/>
      <c r="B13" s="5" t="s">
        <v>68</v>
      </c>
      <c r="C13" s="11">
        <v>238.8</v>
      </c>
      <c r="D13" s="7">
        <v>461</v>
      </c>
      <c r="E13" s="14">
        <f t="shared" si="0"/>
        <v>0.308793474</v>
      </c>
      <c r="F13" s="6">
        <v>16.5</v>
      </c>
      <c r="G13" s="6"/>
      <c r="H13" s="13">
        <f t="shared" si="1"/>
        <v>11.3327204958</v>
      </c>
      <c r="I13" s="1"/>
    </row>
    <row r="14" customHeight="1" spans="2:8">
      <c r="B14" s="1" t="s">
        <v>69</v>
      </c>
      <c r="C14" s="2">
        <v>40.715</v>
      </c>
      <c r="D14" s="3">
        <v>923.3</v>
      </c>
      <c r="E14" s="14">
        <f t="shared" si="0"/>
        <v>0.1054460073975</v>
      </c>
      <c r="F14" s="6">
        <v>16.5</v>
      </c>
      <c r="H14" s="13">
        <f t="shared" si="1"/>
        <v>3.86986847148825</v>
      </c>
    </row>
    <row r="15" customHeight="1" spans="1:12">
      <c r="A15" s="6" t="s">
        <v>55</v>
      </c>
      <c r="B15" s="5" t="s">
        <v>70</v>
      </c>
      <c r="C15" s="15" t="s">
        <v>71</v>
      </c>
      <c r="D15" s="16" t="s">
        <v>72</v>
      </c>
      <c r="E15" s="5" t="s">
        <v>73</v>
      </c>
      <c r="F15" s="7" t="s">
        <v>74</v>
      </c>
      <c r="G15" s="17" t="s">
        <v>75</v>
      </c>
      <c r="H15" s="18" t="s">
        <v>76</v>
      </c>
      <c r="I15" s="17" t="s">
        <v>58</v>
      </c>
      <c r="J15" s="5" t="s">
        <v>59</v>
      </c>
      <c r="K15" s="6" t="s">
        <v>60</v>
      </c>
      <c r="L15" s="13" t="s">
        <v>61</v>
      </c>
    </row>
    <row r="16" customHeight="1" spans="1:12">
      <c r="A16" s="5" t="s">
        <v>19</v>
      </c>
      <c r="B16" s="5">
        <v>12</v>
      </c>
      <c r="C16" s="19">
        <v>8</v>
      </c>
      <c r="D16" s="16">
        <v>2.8</v>
      </c>
      <c r="E16" s="6">
        <v>12</v>
      </c>
      <c r="F16" s="20">
        <v>700</v>
      </c>
      <c r="G16" s="21">
        <f>TRUNC((F16-26)/D16)</f>
        <v>240</v>
      </c>
      <c r="H16" s="11">
        <f>E16*G16</f>
        <v>2880</v>
      </c>
      <c r="I16" s="14">
        <f>B16*H16*0.1*2.75/1000000</f>
        <v>0.009504</v>
      </c>
      <c r="J16" s="5">
        <v>7</v>
      </c>
      <c r="K16" s="6">
        <v>0.001</v>
      </c>
      <c r="L16" s="13">
        <f>I16*($B$2+J16)+K16</f>
        <v>0.2595088</v>
      </c>
    </row>
    <row r="17" customHeight="1" spans="1:12">
      <c r="A17" s="6"/>
      <c r="B17" s="5">
        <v>16</v>
      </c>
      <c r="C17" s="19">
        <v>5</v>
      </c>
      <c r="D17" s="16">
        <v>2.3</v>
      </c>
      <c r="E17" s="6">
        <v>10</v>
      </c>
      <c r="F17" s="20">
        <v>512</v>
      </c>
      <c r="G17" s="21">
        <f>TRUNC((F17-30)/D17)</f>
        <v>209</v>
      </c>
      <c r="H17" s="11">
        <f>E17*G17</f>
        <v>2090</v>
      </c>
      <c r="I17" s="14">
        <f>B17*H17*0.08*2.75/1000000</f>
        <v>0.0073568</v>
      </c>
      <c r="J17" s="5">
        <v>7</v>
      </c>
      <c r="K17" s="6">
        <v>0.001</v>
      </c>
      <c r="L17" s="13">
        <f>I17*($B$2+J17)+K17</f>
        <v>0.20110496</v>
      </c>
    </row>
    <row r="18" customHeight="1" spans="1:12">
      <c r="A18" s="6"/>
      <c r="B18" s="5">
        <v>18</v>
      </c>
      <c r="C18" s="19">
        <v>8</v>
      </c>
      <c r="D18" s="16">
        <v>2.8</v>
      </c>
      <c r="E18" s="6">
        <v>16</v>
      </c>
      <c r="F18" s="20">
        <v>208</v>
      </c>
      <c r="G18" s="21">
        <f>TRUNC((F18-32)/D18)</f>
        <v>62</v>
      </c>
      <c r="H18" s="11">
        <f>E18*G18</f>
        <v>992</v>
      </c>
      <c r="I18" s="14">
        <f>B18*H18*0.1*2.75/1000000</f>
        <v>0.0049104</v>
      </c>
      <c r="J18" s="5">
        <v>7</v>
      </c>
      <c r="K18" s="6">
        <v>0.001</v>
      </c>
      <c r="L18" s="13">
        <f>I18*($B$2+J18)+K18</f>
        <v>0.13456288</v>
      </c>
    </row>
    <row r="19" customHeight="1" spans="1:12">
      <c r="A19" s="6"/>
      <c r="B19" s="5">
        <v>20</v>
      </c>
      <c r="C19" s="19">
        <v>8</v>
      </c>
      <c r="D19" s="16">
        <v>2.8</v>
      </c>
      <c r="E19" s="6">
        <v>16</v>
      </c>
      <c r="F19" s="20">
        <v>463</v>
      </c>
      <c r="G19" s="21">
        <f>TRUNC((F19-35)/D19)</f>
        <v>152</v>
      </c>
      <c r="H19" s="11">
        <f>E19*G19</f>
        <v>2432</v>
      </c>
      <c r="I19" s="14">
        <f>B19*H19*0.1*2.75/1000000</f>
        <v>0.013376</v>
      </c>
      <c r="J19" s="5">
        <v>7</v>
      </c>
      <c r="K19" s="6">
        <v>0.001</v>
      </c>
      <c r="L19" s="13">
        <f>I19*($B$2+J19)+K19</f>
        <v>0.3648272</v>
      </c>
    </row>
    <row r="20" customHeight="1" spans="1:12">
      <c r="A20" s="6"/>
      <c r="B20" s="5">
        <v>26</v>
      </c>
      <c r="C20" s="19">
        <v>8</v>
      </c>
      <c r="D20" s="16">
        <v>2.8</v>
      </c>
      <c r="E20" s="6">
        <v>16</v>
      </c>
      <c r="F20" s="20">
        <v>1060</v>
      </c>
      <c r="G20" s="21">
        <f>TRUNC((F20-40)/D20)</f>
        <v>364</v>
      </c>
      <c r="H20" s="11">
        <f>E20*G20</f>
        <v>5824</v>
      </c>
      <c r="I20" s="14">
        <f>B20*H20*0.1*2.75/1000000</f>
        <v>0.0416416</v>
      </c>
      <c r="J20" s="5">
        <v>7</v>
      </c>
      <c r="K20" s="6">
        <v>0.001</v>
      </c>
      <c r="L20" s="13">
        <f>I20*($B$2+J20)+K20</f>
        <v>1.13365152</v>
      </c>
    </row>
    <row r="22" customHeight="1" spans="1:10">
      <c r="A22" s="6" t="s">
        <v>55</v>
      </c>
      <c r="B22" s="5" t="s">
        <v>70</v>
      </c>
      <c r="C22" s="10" t="s">
        <v>77</v>
      </c>
      <c r="D22" s="7" t="s">
        <v>57</v>
      </c>
      <c r="E22" s="22" t="s">
        <v>78</v>
      </c>
      <c r="F22" s="17" t="s">
        <v>58</v>
      </c>
      <c r="G22" s="5" t="s">
        <v>79</v>
      </c>
      <c r="H22" s="13" t="s">
        <v>61</v>
      </c>
      <c r="I22" s="5" t="s">
        <v>80</v>
      </c>
      <c r="J22" s="13" t="s">
        <v>61</v>
      </c>
    </row>
    <row r="23" customHeight="1" spans="1:10">
      <c r="A23" s="5" t="s">
        <v>21</v>
      </c>
      <c r="B23" s="5">
        <v>12</v>
      </c>
      <c r="C23" s="10">
        <v>1.4</v>
      </c>
      <c r="D23" s="20">
        <v>735</v>
      </c>
      <c r="E23" s="23">
        <v>0.027</v>
      </c>
      <c r="F23" s="14">
        <f t="shared" ref="F23:F28" si="2">D23*E23/1000</f>
        <v>0.019845</v>
      </c>
      <c r="G23" s="5">
        <v>7.436</v>
      </c>
      <c r="H23" s="13">
        <f t="shared" ref="H23:H28" si="3">F23*($B$2+G23)</f>
        <v>0.54843642</v>
      </c>
      <c r="I23" s="5">
        <v>11.9</v>
      </c>
      <c r="J23" s="13">
        <f t="shared" ref="J23:J28" si="4">F23*($B$2+I23)</f>
        <v>0.6370245</v>
      </c>
    </row>
    <row r="24" customHeight="1" spans="1:10">
      <c r="A24" s="6"/>
      <c r="B24" s="5">
        <v>16</v>
      </c>
      <c r="C24" s="24">
        <v>2</v>
      </c>
      <c r="D24" s="20">
        <v>500</v>
      </c>
      <c r="E24" s="23">
        <v>0.04</v>
      </c>
      <c r="F24" s="14">
        <f t="shared" si="2"/>
        <v>0.02</v>
      </c>
      <c r="G24" s="5">
        <v>7.436</v>
      </c>
      <c r="H24" s="13">
        <f t="shared" si="3"/>
        <v>0.55272</v>
      </c>
      <c r="I24" s="5">
        <v>11.9</v>
      </c>
      <c r="J24" s="13">
        <f t="shared" si="4"/>
        <v>0.642</v>
      </c>
    </row>
    <row r="25" customHeight="1" spans="1:10">
      <c r="A25" s="6"/>
      <c r="B25" s="5">
        <v>18</v>
      </c>
      <c r="C25" s="24">
        <v>2</v>
      </c>
      <c r="D25" s="20">
        <v>0</v>
      </c>
      <c r="E25" s="23">
        <v>0.0508</v>
      </c>
      <c r="F25" s="14">
        <f t="shared" si="2"/>
        <v>0</v>
      </c>
      <c r="G25" s="5">
        <v>7.436</v>
      </c>
      <c r="H25" s="13">
        <f t="shared" si="3"/>
        <v>0</v>
      </c>
      <c r="I25" s="5">
        <v>11.9</v>
      </c>
      <c r="J25" s="13">
        <f t="shared" si="4"/>
        <v>0</v>
      </c>
    </row>
    <row r="26" customHeight="1" spans="1:10">
      <c r="A26" s="6"/>
      <c r="B26" s="5">
        <v>20</v>
      </c>
      <c r="C26" s="24">
        <v>2</v>
      </c>
      <c r="D26" s="20">
        <v>488</v>
      </c>
      <c r="E26" s="23">
        <v>0.052</v>
      </c>
      <c r="F26" s="14">
        <f t="shared" si="2"/>
        <v>0.025376</v>
      </c>
      <c r="G26" s="5">
        <v>7.436</v>
      </c>
      <c r="H26" s="13">
        <f t="shared" si="3"/>
        <v>0.701291136</v>
      </c>
      <c r="I26" s="5">
        <v>11.9</v>
      </c>
      <c r="J26" s="13">
        <f t="shared" si="4"/>
        <v>0.8145696</v>
      </c>
    </row>
    <row r="27" customHeight="1" spans="1:10">
      <c r="A27" s="6"/>
      <c r="B27" s="5">
        <v>26</v>
      </c>
      <c r="C27" s="24">
        <v>2</v>
      </c>
      <c r="D27" s="20">
        <v>956</v>
      </c>
      <c r="E27" s="23">
        <v>0.063</v>
      </c>
      <c r="F27" s="14">
        <f t="shared" si="2"/>
        <v>0.060228</v>
      </c>
      <c r="G27" s="5">
        <v>7.436</v>
      </c>
      <c r="H27" s="13">
        <f t="shared" si="3"/>
        <v>1.664461008</v>
      </c>
      <c r="I27" s="5">
        <v>11.9</v>
      </c>
      <c r="J27" s="13">
        <f t="shared" si="4"/>
        <v>1.9333188</v>
      </c>
    </row>
    <row r="28" customHeight="1" spans="1:10">
      <c r="A28" s="6"/>
      <c r="B28" s="5">
        <v>32</v>
      </c>
      <c r="C28" s="24">
        <v>2</v>
      </c>
      <c r="D28" s="20">
        <v>590</v>
      </c>
      <c r="E28" s="23">
        <v>0.09</v>
      </c>
      <c r="F28" s="14">
        <f t="shared" si="2"/>
        <v>0.0531</v>
      </c>
      <c r="G28" s="5">
        <v>7.436</v>
      </c>
      <c r="H28" s="13">
        <f t="shared" si="3"/>
        <v>1.4674716</v>
      </c>
      <c r="I28" s="5">
        <v>14</v>
      </c>
      <c r="J28" s="13">
        <f t="shared" si="4"/>
        <v>1.81602</v>
      </c>
    </row>
    <row r="29" customHeight="1" spans="14:14">
      <c r="N29" s="29"/>
    </row>
    <row r="30" customHeight="1" spans="1:9">
      <c r="A30" s="25" t="s">
        <v>12</v>
      </c>
      <c r="B30" s="25" t="s">
        <v>81</v>
      </c>
      <c r="C30" s="11" t="s">
        <v>82</v>
      </c>
      <c r="D30" s="11"/>
      <c r="E30" s="11"/>
      <c r="F30" s="11"/>
      <c r="G30" s="11"/>
      <c r="H30" s="11"/>
      <c r="I30" s="30" t="s">
        <v>10</v>
      </c>
    </row>
    <row r="31" ht="38" customHeight="1" spans="1:9">
      <c r="A31" s="25" t="s">
        <v>83</v>
      </c>
      <c r="B31" s="25" t="s">
        <v>84</v>
      </c>
      <c r="C31" s="11"/>
      <c r="D31" s="26" t="s">
        <v>85</v>
      </c>
      <c r="E31" s="5"/>
      <c r="F31" s="5"/>
      <c r="G31" s="5"/>
      <c r="H31" s="6" t="s">
        <v>86</v>
      </c>
      <c r="I31" s="31"/>
    </row>
    <row r="32" customHeight="1" spans="1:9">
      <c r="A32" s="25" t="s">
        <v>87</v>
      </c>
      <c r="B32" s="25" t="s">
        <v>88</v>
      </c>
      <c r="C32" s="11" t="s">
        <v>89</v>
      </c>
      <c r="D32" s="5">
        <v>1.08</v>
      </c>
      <c r="E32" s="6">
        <v>0.56</v>
      </c>
      <c r="F32" s="11">
        <v>2</v>
      </c>
      <c r="G32" s="6">
        <v>0.04</v>
      </c>
      <c r="H32" s="27">
        <f>(D32+E32)*F32+G32</f>
        <v>3.32</v>
      </c>
      <c r="I32" s="31"/>
    </row>
    <row r="33" customHeight="1" spans="1:9">
      <c r="A33" s="25" t="s">
        <v>90</v>
      </c>
      <c r="B33" s="25" t="s">
        <v>91</v>
      </c>
      <c r="C33" s="11"/>
      <c r="D33" s="5" t="s">
        <v>92</v>
      </c>
      <c r="E33" s="5"/>
      <c r="F33" s="5"/>
      <c r="G33" s="5"/>
      <c r="H33" s="6"/>
      <c r="I33" s="31"/>
    </row>
    <row r="34" customHeight="1" spans="1:10">
      <c r="A34" s="25" t="s">
        <v>93</v>
      </c>
      <c r="B34" s="25" t="s">
        <v>94</v>
      </c>
      <c r="C34" s="11" t="s">
        <v>95</v>
      </c>
      <c r="D34" s="5">
        <v>0.56</v>
      </c>
      <c r="E34" s="6">
        <v>0.5</v>
      </c>
      <c r="F34" s="11"/>
      <c r="G34" s="6"/>
      <c r="H34" s="27">
        <f>D34+E34</f>
        <v>1.06</v>
      </c>
      <c r="I34" s="31"/>
      <c r="J34" s="4"/>
    </row>
    <row r="35" customHeight="1" spans="1:9">
      <c r="A35" s="25" t="s">
        <v>96</v>
      </c>
      <c r="B35" s="25" t="s">
        <v>97</v>
      </c>
      <c r="C35" s="11"/>
      <c r="D35" s="5"/>
      <c r="E35" s="6"/>
      <c r="F35" s="11"/>
      <c r="G35" s="6"/>
      <c r="H35" s="6"/>
      <c r="I35" s="31"/>
    </row>
    <row r="36" customHeight="1" spans="1:9">
      <c r="A36" s="25" t="s">
        <v>98</v>
      </c>
      <c r="B36" s="25" t="s">
        <v>99</v>
      </c>
      <c r="C36" s="11"/>
      <c r="D36" s="5"/>
      <c r="E36" s="6"/>
      <c r="F36" s="11"/>
      <c r="G36" s="6"/>
      <c r="H36" s="6"/>
      <c r="I36" s="31"/>
    </row>
    <row r="37" customHeight="1" spans="1:9">
      <c r="A37" s="25" t="s">
        <v>100</v>
      </c>
      <c r="B37" s="25" t="s">
        <v>101</v>
      </c>
      <c r="C37" s="11" t="s">
        <v>13</v>
      </c>
      <c r="D37" s="5" t="s">
        <v>102</v>
      </c>
      <c r="E37" s="5"/>
      <c r="F37" s="5"/>
      <c r="G37" s="5"/>
      <c r="H37" s="28"/>
      <c r="I37" s="31"/>
    </row>
    <row r="38" customHeight="1" spans="1:9">
      <c r="A38" s="25" t="s">
        <v>103</v>
      </c>
      <c r="B38" s="25" t="s">
        <v>104</v>
      </c>
      <c r="C38" s="11"/>
      <c r="D38" s="5"/>
      <c r="E38" s="6"/>
      <c r="F38" s="11"/>
      <c r="G38" s="6"/>
      <c r="H38" s="27">
        <f>H32*H34*6.8</f>
        <v>23.93056</v>
      </c>
      <c r="I38" s="31" t="s">
        <v>105</v>
      </c>
    </row>
    <row r="39" customHeight="1" spans="1:9">
      <c r="A39" s="25" t="s">
        <v>106</v>
      </c>
      <c r="B39" s="25" t="s">
        <v>97</v>
      </c>
      <c r="C39" s="11"/>
      <c r="D39" s="5"/>
      <c r="E39" s="6"/>
      <c r="F39" s="11"/>
      <c r="G39" s="6"/>
      <c r="H39" s="27">
        <f>H32*H34*5.5</f>
        <v>19.3556</v>
      </c>
      <c r="I39" s="32" t="s">
        <v>107</v>
      </c>
    </row>
    <row r="40" customHeight="1" spans="1:2">
      <c r="A40" s="25" t="s">
        <v>108</v>
      </c>
      <c r="B40" s="25" t="s">
        <v>99</v>
      </c>
    </row>
    <row r="41" customHeight="1" spans="1:2">
      <c r="A41" s="25" t="s">
        <v>109</v>
      </c>
      <c r="B41" s="25" t="s">
        <v>101</v>
      </c>
    </row>
    <row r="42" customHeight="1" spans="1:2">
      <c r="A42" s="25" t="s">
        <v>110</v>
      </c>
      <c r="B42" s="25" t="s">
        <v>111</v>
      </c>
    </row>
    <row r="43" customHeight="1" spans="1:2">
      <c r="A43" s="25" t="s">
        <v>112</v>
      </c>
      <c r="B43" s="25" t="s">
        <v>101</v>
      </c>
    </row>
    <row r="44" customHeight="1" spans="1:2">
      <c r="A44" s="25" t="s">
        <v>113</v>
      </c>
      <c r="B44" s="25" t="s">
        <v>111</v>
      </c>
    </row>
    <row r="45" customHeight="1" spans="1:2">
      <c r="A45" s="25" t="s">
        <v>114</v>
      </c>
      <c r="B45" s="25" t="s">
        <v>115</v>
      </c>
    </row>
    <row r="46" customHeight="1" spans="1:2">
      <c r="A46" s="25" t="s">
        <v>116</v>
      </c>
      <c r="B46" s="25" t="s">
        <v>97</v>
      </c>
    </row>
    <row r="47" customHeight="1" spans="1:2">
      <c r="A47" s="25" t="s">
        <v>117</v>
      </c>
      <c r="B47" s="25" t="s">
        <v>88</v>
      </c>
    </row>
    <row r="48" customHeight="1" spans="1:2">
      <c r="A48" s="25" t="s">
        <v>118</v>
      </c>
      <c r="B48" s="25" t="s">
        <v>119</v>
      </c>
    </row>
    <row r="49" customHeight="1" spans="1:2">
      <c r="A49" s="25" t="s">
        <v>120</v>
      </c>
      <c r="B49" s="25" t="s">
        <v>121</v>
      </c>
    </row>
    <row r="50" customHeight="1" spans="1:2">
      <c r="A50" s="25" t="s">
        <v>122</v>
      </c>
      <c r="B50" s="25" t="s">
        <v>123</v>
      </c>
    </row>
    <row r="51" customHeight="1" spans="1:2">
      <c r="A51" s="25" t="s">
        <v>124</v>
      </c>
      <c r="B51" s="25" t="s">
        <v>123</v>
      </c>
    </row>
    <row r="52" customHeight="1" spans="1:2">
      <c r="A52" s="25" t="s">
        <v>125</v>
      </c>
      <c r="B52" s="25" t="s">
        <v>123</v>
      </c>
    </row>
    <row r="53" customHeight="1" spans="1:2">
      <c r="A53" s="25" t="s">
        <v>126</v>
      </c>
      <c r="B53" s="25" t="s">
        <v>127</v>
      </c>
    </row>
    <row r="54" customHeight="1" spans="1:2">
      <c r="A54" s="25" t="s">
        <v>128</v>
      </c>
      <c r="B54" s="25" t="s">
        <v>123</v>
      </c>
    </row>
    <row r="55" customHeight="1" spans="1:2">
      <c r="A55" s="25" t="s">
        <v>129</v>
      </c>
      <c r="B55" s="25" t="s">
        <v>123</v>
      </c>
    </row>
    <row r="56" customHeight="1" spans="1:2">
      <c r="A56" s="25" t="s">
        <v>130</v>
      </c>
      <c r="B56" s="25" t="s">
        <v>119</v>
      </c>
    </row>
    <row r="57" customHeight="1" spans="1:2">
      <c r="A57" s="25" t="s">
        <v>131</v>
      </c>
      <c r="B57" s="25" t="s">
        <v>132</v>
      </c>
    </row>
    <row r="58" customHeight="1" spans="1:2">
      <c r="A58" s="25" t="s">
        <v>133</v>
      </c>
      <c r="B58" s="25" t="s">
        <v>132</v>
      </c>
    </row>
    <row r="59" customHeight="1" spans="1:2">
      <c r="A59" s="25" t="s">
        <v>134</v>
      </c>
      <c r="B59" s="25" t="s">
        <v>115</v>
      </c>
    </row>
    <row r="60" customHeight="1" spans="1:2">
      <c r="A60" s="25" t="s">
        <v>135</v>
      </c>
      <c r="B60" s="25" t="s">
        <v>88</v>
      </c>
    </row>
    <row r="61" customHeight="1" spans="1:2">
      <c r="A61" s="25" t="s">
        <v>136</v>
      </c>
      <c r="B61" s="25" t="s">
        <v>137</v>
      </c>
    </row>
    <row r="62" customHeight="1" spans="1:2">
      <c r="A62" s="25" t="s">
        <v>138</v>
      </c>
      <c r="B62" s="25" t="s">
        <v>137</v>
      </c>
    </row>
    <row r="63" customHeight="1" spans="1:2">
      <c r="A63" s="25" t="s">
        <v>139</v>
      </c>
      <c r="B63" s="25" t="s">
        <v>88</v>
      </c>
    </row>
    <row r="64" customHeight="1" spans="1:2">
      <c r="A64" s="25" t="s">
        <v>140</v>
      </c>
      <c r="B64" s="25" t="s">
        <v>141</v>
      </c>
    </row>
    <row r="65" customHeight="1" spans="1:2">
      <c r="A65" s="25" t="s">
        <v>142</v>
      </c>
      <c r="B65" s="25" t="s">
        <v>88</v>
      </c>
    </row>
    <row r="66" customHeight="1" spans="1:2">
      <c r="A66" s="25" t="s">
        <v>143</v>
      </c>
      <c r="B66" s="25">
        <v>36</v>
      </c>
    </row>
    <row r="67" customHeight="1" spans="1:2">
      <c r="A67" s="25" t="s">
        <v>144</v>
      </c>
      <c r="B67" s="25" t="s">
        <v>115</v>
      </c>
    </row>
    <row r="68" customHeight="1" spans="1:2">
      <c r="A68" s="25" t="s">
        <v>145</v>
      </c>
      <c r="B68" s="25" t="s">
        <v>146</v>
      </c>
    </row>
    <row r="69" customHeight="1" spans="1:2">
      <c r="A69" s="25" t="s">
        <v>147</v>
      </c>
      <c r="B69" s="25" t="s">
        <v>132</v>
      </c>
    </row>
    <row r="70" customHeight="1" spans="1:2">
      <c r="A70" s="25" t="s">
        <v>148</v>
      </c>
      <c r="B70" s="25" t="s">
        <v>88</v>
      </c>
    </row>
    <row r="71" customHeight="1" spans="1:2">
      <c r="A71" s="25" t="s">
        <v>149</v>
      </c>
      <c r="B71" s="25" t="s">
        <v>121</v>
      </c>
    </row>
    <row r="72" customHeight="1" spans="1:2">
      <c r="A72" s="25" t="s">
        <v>150</v>
      </c>
      <c r="B72" s="25" t="s">
        <v>121</v>
      </c>
    </row>
    <row r="73" customHeight="1" spans="1:2">
      <c r="A73" s="25" t="s">
        <v>151</v>
      </c>
      <c r="B73" s="25" t="s">
        <v>152</v>
      </c>
    </row>
    <row r="74" customHeight="1" spans="1:2">
      <c r="A74" s="25" t="s">
        <v>153</v>
      </c>
      <c r="B74" s="25" t="s">
        <v>152</v>
      </c>
    </row>
    <row r="75" customHeight="1" spans="1:2">
      <c r="A75" s="25" t="s">
        <v>154</v>
      </c>
      <c r="B75" s="25" t="s">
        <v>152</v>
      </c>
    </row>
    <row r="76" customHeight="1" spans="1:2">
      <c r="A76" s="25" t="s">
        <v>155</v>
      </c>
      <c r="B76" s="25" t="s">
        <v>156</v>
      </c>
    </row>
    <row r="77" customHeight="1" spans="1:2">
      <c r="A77" s="25" t="s">
        <v>157</v>
      </c>
      <c r="B77" s="25" t="s">
        <v>158</v>
      </c>
    </row>
    <row r="78" customHeight="1" spans="1:2">
      <c r="A78" s="25" t="s">
        <v>159</v>
      </c>
      <c r="B78" s="25" t="s">
        <v>88</v>
      </c>
    </row>
    <row r="79" customHeight="1" spans="1:2">
      <c r="A79" s="25" t="s">
        <v>160</v>
      </c>
      <c r="B79" s="25" t="s">
        <v>121</v>
      </c>
    </row>
    <row r="80" customHeight="1" spans="1:2">
      <c r="A80" s="25" t="s">
        <v>161</v>
      </c>
      <c r="B80" s="25" t="s">
        <v>162</v>
      </c>
    </row>
    <row r="81" customHeight="1" spans="1:2">
      <c r="A81" s="25" t="s">
        <v>161</v>
      </c>
      <c r="B81" s="25" t="s">
        <v>88</v>
      </c>
    </row>
    <row r="82" customHeight="1" spans="1:2">
      <c r="A82" s="25" t="s">
        <v>161</v>
      </c>
      <c r="B82" s="25" t="s">
        <v>163</v>
      </c>
    </row>
    <row r="83" customHeight="1" spans="1:2">
      <c r="A83" s="25" t="s">
        <v>164</v>
      </c>
      <c r="B83" s="25" t="s">
        <v>165</v>
      </c>
    </row>
    <row r="84" customHeight="1" spans="1:2">
      <c r="A84" s="25" t="s">
        <v>166</v>
      </c>
      <c r="B84" s="25" t="s">
        <v>163</v>
      </c>
    </row>
    <row r="85" customHeight="1" spans="1:2">
      <c r="A85" s="25" t="s">
        <v>167</v>
      </c>
      <c r="B85" s="25" t="s">
        <v>127</v>
      </c>
    </row>
    <row r="86" customHeight="1" spans="1:2">
      <c r="A86" s="25" t="s">
        <v>167</v>
      </c>
      <c r="B86" s="25" t="s">
        <v>168</v>
      </c>
    </row>
    <row r="87" customHeight="1" spans="1:2">
      <c r="A87" s="25" t="s">
        <v>167</v>
      </c>
      <c r="B87" s="25" t="s">
        <v>127</v>
      </c>
    </row>
    <row r="88" customHeight="1" spans="1:2">
      <c r="A88" s="25" t="s">
        <v>167</v>
      </c>
      <c r="B88" s="25" t="s">
        <v>127</v>
      </c>
    </row>
    <row r="89" customHeight="1" spans="1:2">
      <c r="A89" s="25" t="s">
        <v>167</v>
      </c>
      <c r="B89" s="25" t="s">
        <v>168</v>
      </c>
    </row>
    <row r="90" customHeight="1" spans="1:2">
      <c r="A90" s="25" t="s">
        <v>169</v>
      </c>
      <c r="B90" s="25" t="s">
        <v>168</v>
      </c>
    </row>
    <row r="91" customHeight="1" spans="1:2">
      <c r="A91" s="25" t="s">
        <v>169</v>
      </c>
      <c r="B91" s="25" t="s">
        <v>127</v>
      </c>
    </row>
    <row r="92" customHeight="1" spans="1:2">
      <c r="A92" s="25" t="s">
        <v>169</v>
      </c>
      <c r="B92" s="25" t="s">
        <v>127</v>
      </c>
    </row>
    <row r="93" customHeight="1" spans="1:2">
      <c r="A93" s="25" t="s">
        <v>170</v>
      </c>
      <c r="B93" s="25" t="s">
        <v>171</v>
      </c>
    </row>
    <row r="94" customHeight="1" spans="1:2">
      <c r="A94" s="25" t="s">
        <v>172</v>
      </c>
      <c r="B94" s="25" t="s">
        <v>141</v>
      </c>
    </row>
    <row r="95" customHeight="1" spans="1:2">
      <c r="A95" s="25" t="s">
        <v>172</v>
      </c>
      <c r="B95" s="25" t="s">
        <v>141</v>
      </c>
    </row>
    <row r="96" customHeight="1" spans="1:2">
      <c r="A96" s="25" t="s">
        <v>173</v>
      </c>
      <c r="B96" s="25" t="s">
        <v>174</v>
      </c>
    </row>
    <row r="97" customHeight="1" spans="1:2">
      <c r="A97" s="25" t="s">
        <v>175</v>
      </c>
      <c r="B97" s="25" t="s">
        <v>176</v>
      </c>
    </row>
    <row r="98" customHeight="1" spans="1:2">
      <c r="A98" s="25" t="s">
        <v>175</v>
      </c>
      <c r="B98" s="25" t="s">
        <v>176</v>
      </c>
    </row>
    <row r="99" customHeight="1" spans="1:2">
      <c r="A99" s="25" t="s">
        <v>175</v>
      </c>
      <c r="B99" s="25" t="s">
        <v>176</v>
      </c>
    </row>
    <row r="100" customHeight="1" spans="1:2">
      <c r="A100" s="25" t="s">
        <v>175</v>
      </c>
      <c r="B100" s="25" t="s">
        <v>176</v>
      </c>
    </row>
    <row r="101" customHeight="1" spans="1:2">
      <c r="A101" s="25" t="s">
        <v>177</v>
      </c>
      <c r="B101" s="25" t="s">
        <v>178</v>
      </c>
    </row>
    <row r="102" customHeight="1" spans="1:2">
      <c r="A102" s="25" t="s">
        <v>179</v>
      </c>
      <c r="B102" s="25" t="s">
        <v>180</v>
      </c>
    </row>
    <row r="103" customHeight="1" spans="1:2">
      <c r="A103" s="25" t="s">
        <v>181</v>
      </c>
      <c r="B103" s="25" t="s">
        <v>182</v>
      </c>
    </row>
    <row r="104" customHeight="1" spans="1:2">
      <c r="A104" s="25" t="s">
        <v>183</v>
      </c>
      <c r="B104" s="25" t="s">
        <v>184</v>
      </c>
    </row>
    <row r="105" customHeight="1" spans="1:2">
      <c r="A105" s="25" t="s">
        <v>185</v>
      </c>
      <c r="B105" s="25" t="s">
        <v>186</v>
      </c>
    </row>
    <row r="106" customHeight="1" spans="1:2">
      <c r="A106" s="25" t="s">
        <v>187</v>
      </c>
      <c r="B106" s="25" t="s">
        <v>188</v>
      </c>
    </row>
    <row r="107" customHeight="1" spans="1:2">
      <c r="A107" s="25" t="s">
        <v>189</v>
      </c>
      <c r="B107" s="25" t="s">
        <v>190</v>
      </c>
    </row>
    <row r="108" customHeight="1" spans="1:2">
      <c r="A108" s="25" t="s">
        <v>191</v>
      </c>
      <c r="B108" s="25" t="s">
        <v>192</v>
      </c>
    </row>
    <row r="109" customHeight="1" spans="1:2">
      <c r="A109" s="25" t="s">
        <v>193</v>
      </c>
      <c r="B109" s="25" t="s">
        <v>194</v>
      </c>
    </row>
    <row r="110" customHeight="1" spans="1:2">
      <c r="A110" s="25" t="s">
        <v>195</v>
      </c>
      <c r="B110" s="25" t="s">
        <v>121</v>
      </c>
    </row>
    <row r="111" customHeight="1" spans="1:2">
      <c r="A111" s="25" t="s">
        <v>195</v>
      </c>
      <c r="B111" s="25" t="s">
        <v>152</v>
      </c>
    </row>
    <row r="112" customHeight="1" spans="1:2">
      <c r="A112" s="25" t="s">
        <v>196</v>
      </c>
      <c r="B112" s="25" t="s">
        <v>115</v>
      </c>
    </row>
    <row r="113" customHeight="1" spans="1:2">
      <c r="A113" s="25" t="s">
        <v>197</v>
      </c>
      <c r="B113" s="25" t="s">
        <v>132</v>
      </c>
    </row>
    <row r="114" customHeight="1" spans="1:2">
      <c r="A114" s="25" t="s">
        <v>198</v>
      </c>
      <c r="B114" s="25" t="s">
        <v>88</v>
      </c>
    </row>
    <row r="115" customHeight="1" spans="1:2">
      <c r="A115" s="25" t="s">
        <v>198</v>
      </c>
      <c r="B115" s="25" t="s">
        <v>88</v>
      </c>
    </row>
    <row r="116" customHeight="1" spans="1:2">
      <c r="A116" s="25" t="s">
        <v>199</v>
      </c>
      <c r="B116" s="25" t="s">
        <v>121</v>
      </c>
    </row>
    <row r="117" customHeight="1" spans="1:2">
      <c r="A117" s="25" t="s">
        <v>200</v>
      </c>
      <c r="B117" s="25" t="s">
        <v>121</v>
      </c>
    </row>
    <row r="118" customHeight="1" spans="1:2">
      <c r="A118" s="25" t="s">
        <v>200</v>
      </c>
      <c r="B118" s="25" t="s">
        <v>88</v>
      </c>
    </row>
    <row r="119" customHeight="1" spans="1:2">
      <c r="A119" s="25" t="s">
        <v>201</v>
      </c>
      <c r="B119" s="25" t="s">
        <v>165</v>
      </c>
    </row>
    <row r="120" customHeight="1" spans="1:2">
      <c r="A120" s="25" t="s">
        <v>202</v>
      </c>
      <c r="B120" s="25" t="s">
        <v>132</v>
      </c>
    </row>
    <row r="121" customHeight="1" spans="1:2">
      <c r="A121" s="25" t="s">
        <v>203</v>
      </c>
      <c r="B121" s="25" t="s">
        <v>168</v>
      </c>
    </row>
    <row r="122" customHeight="1" spans="1:2">
      <c r="A122" s="25" t="s">
        <v>203</v>
      </c>
      <c r="B122" s="25" t="s">
        <v>168</v>
      </c>
    </row>
    <row r="123" customHeight="1" spans="1:2">
      <c r="A123" s="25" t="s">
        <v>204</v>
      </c>
      <c r="B123" s="25" t="s">
        <v>168</v>
      </c>
    </row>
    <row r="124" customHeight="1" spans="1:2">
      <c r="A124" s="25" t="s">
        <v>205</v>
      </c>
      <c r="B124" s="25" t="s">
        <v>194</v>
      </c>
    </row>
    <row r="125" customHeight="1" spans="1:2">
      <c r="A125" s="25" t="s">
        <v>205</v>
      </c>
      <c r="B125" s="25" t="s">
        <v>194</v>
      </c>
    </row>
    <row r="126" customHeight="1" spans="1:2">
      <c r="A126" s="25" t="s">
        <v>206</v>
      </c>
      <c r="B126" s="25" t="s">
        <v>127</v>
      </c>
    </row>
    <row r="127" customHeight="1" spans="1:2">
      <c r="A127" s="25" t="s">
        <v>207</v>
      </c>
      <c r="B127" s="25" t="s">
        <v>168</v>
      </c>
    </row>
    <row r="128" customHeight="1" spans="1:2">
      <c r="A128" s="25" t="s">
        <v>208</v>
      </c>
      <c r="B128" s="25" t="s">
        <v>168</v>
      </c>
    </row>
    <row r="129" customHeight="1" spans="1:2">
      <c r="A129" s="25" t="s">
        <v>209</v>
      </c>
      <c r="B129" s="25" t="s">
        <v>121</v>
      </c>
    </row>
    <row r="130" customHeight="1" spans="1:2">
      <c r="A130" s="25" t="s">
        <v>210</v>
      </c>
      <c r="B130" s="25" t="s">
        <v>119</v>
      </c>
    </row>
    <row r="131" customHeight="1" spans="1:2">
      <c r="A131" s="25" t="s">
        <v>211</v>
      </c>
      <c r="B131" s="25" t="s">
        <v>88</v>
      </c>
    </row>
    <row r="132" customHeight="1" spans="1:2">
      <c r="A132" s="25" t="s">
        <v>212</v>
      </c>
      <c r="B132" s="25" t="s">
        <v>132</v>
      </c>
    </row>
    <row r="133" customHeight="1" spans="1:2">
      <c r="A133" s="25" t="s">
        <v>213</v>
      </c>
      <c r="B133" s="25" t="s">
        <v>163</v>
      </c>
    </row>
    <row r="134" customHeight="1" spans="1:2">
      <c r="A134" s="25" t="s">
        <v>214</v>
      </c>
      <c r="B134" s="25" t="s">
        <v>88</v>
      </c>
    </row>
    <row r="135" customHeight="1" spans="1:2">
      <c r="A135" s="25" t="s">
        <v>214</v>
      </c>
      <c r="B135" s="25" t="s">
        <v>215</v>
      </c>
    </row>
    <row r="136" customHeight="1" spans="1:2">
      <c r="A136" s="25" t="s">
        <v>216</v>
      </c>
      <c r="B136" s="25" t="s">
        <v>88</v>
      </c>
    </row>
    <row r="137" customHeight="1" spans="1:2">
      <c r="A137" s="25" t="s">
        <v>216</v>
      </c>
      <c r="B137" s="25" t="s">
        <v>168</v>
      </c>
    </row>
    <row r="138" customHeight="1" spans="1:2">
      <c r="A138" s="25" t="s">
        <v>216</v>
      </c>
      <c r="B138" s="25" t="s">
        <v>168</v>
      </c>
    </row>
    <row r="139" customHeight="1" spans="1:2">
      <c r="A139" s="25" t="s">
        <v>216</v>
      </c>
      <c r="B139" s="25" t="s">
        <v>168</v>
      </c>
    </row>
    <row r="140" customHeight="1" spans="1:2">
      <c r="A140" s="25" t="s">
        <v>217</v>
      </c>
      <c r="B140" s="25" t="s">
        <v>218</v>
      </c>
    </row>
    <row r="141" customHeight="1" spans="1:2">
      <c r="A141" s="25" t="s">
        <v>219</v>
      </c>
      <c r="B141" s="25" t="s">
        <v>162</v>
      </c>
    </row>
    <row r="142" customHeight="1" spans="1:2">
      <c r="A142" s="25" t="s">
        <v>219</v>
      </c>
      <c r="B142" s="25" t="s">
        <v>127</v>
      </c>
    </row>
    <row r="143" customHeight="1" spans="1:2">
      <c r="A143" s="25" t="s">
        <v>219</v>
      </c>
      <c r="B143" s="25" t="s">
        <v>162</v>
      </c>
    </row>
    <row r="144" customHeight="1" spans="1:2">
      <c r="A144" s="25" t="s">
        <v>219</v>
      </c>
      <c r="B144" s="25" t="s">
        <v>162</v>
      </c>
    </row>
    <row r="145" customHeight="1" spans="1:2">
      <c r="A145" s="25" t="s">
        <v>219</v>
      </c>
      <c r="B145" s="25" t="s">
        <v>162</v>
      </c>
    </row>
    <row r="146" customHeight="1" spans="1:2">
      <c r="A146" s="25" t="s">
        <v>219</v>
      </c>
      <c r="B146" s="25" t="s">
        <v>152</v>
      </c>
    </row>
    <row r="147" customHeight="1" spans="1:2">
      <c r="A147" s="25" t="s">
        <v>220</v>
      </c>
      <c r="B147" s="25" t="s">
        <v>162</v>
      </c>
    </row>
    <row r="148" customHeight="1" spans="1:2">
      <c r="A148" s="25" t="s">
        <v>221</v>
      </c>
      <c r="B148" s="25" t="s">
        <v>222</v>
      </c>
    </row>
    <row r="149" customHeight="1" spans="1:2">
      <c r="A149" s="25" t="s">
        <v>223</v>
      </c>
      <c r="B149" s="25" t="s">
        <v>141</v>
      </c>
    </row>
    <row r="150" customHeight="1" spans="1:2">
      <c r="A150" s="25" t="s">
        <v>223</v>
      </c>
      <c r="B150" s="25" t="s">
        <v>141</v>
      </c>
    </row>
    <row r="151" customHeight="1" spans="1:2">
      <c r="A151" s="25" t="s">
        <v>224</v>
      </c>
      <c r="B151" s="25" t="s">
        <v>222</v>
      </c>
    </row>
    <row r="152" customHeight="1" spans="1:2">
      <c r="A152" s="25" t="s">
        <v>225</v>
      </c>
      <c r="B152" s="25" t="s">
        <v>218</v>
      </c>
    </row>
    <row r="153" customHeight="1" spans="1:2">
      <c r="A153" s="25" t="s">
        <v>226</v>
      </c>
      <c r="B153" s="25" t="s">
        <v>218</v>
      </c>
    </row>
    <row r="154" customHeight="1" spans="1:2">
      <c r="A154" s="25" t="s">
        <v>227</v>
      </c>
      <c r="B154" s="25" t="s">
        <v>171</v>
      </c>
    </row>
    <row r="155" customHeight="1" spans="1:2">
      <c r="A155" s="25" t="s">
        <v>228</v>
      </c>
      <c r="B155" s="25" t="s">
        <v>222</v>
      </c>
    </row>
    <row r="156" customHeight="1" spans="1:2">
      <c r="A156" s="25" t="s">
        <v>228</v>
      </c>
      <c r="B156" s="25" t="s">
        <v>88</v>
      </c>
    </row>
    <row r="157" customHeight="1" spans="1:2">
      <c r="A157" s="25" t="s">
        <v>228</v>
      </c>
      <c r="B157" s="25" t="s">
        <v>222</v>
      </c>
    </row>
    <row r="158" customHeight="1" spans="1:2">
      <c r="A158" s="25" t="s">
        <v>229</v>
      </c>
      <c r="B158" s="25" t="s">
        <v>230</v>
      </c>
    </row>
    <row r="159" customHeight="1" spans="1:2">
      <c r="A159" s="25" t="s">
        <v>231</v>
      </c>
      <c r="B159" s="25" t="s">
        <v>146</v>
      </c>
    </row>
    <row r="160" customHeight="1" spans="1:2">
      <c r="A160" s="25" t="s">
        <v>232</v>
      </c>
      <c r="B160" s="25" t="s">
        <v>121</v>
      </c>
    </row>
    <row r="161" customHeight="1" spans="1:2">
      <c r="A161" s="25" t="s">
        <v>232</v>
      </c>
      <c r="B161" s="25" t="s">
        <v>233</v>
      </c>
    </row>
    <row r="162" customHeight="1" spans="1:2">
      <c r="A162" s="25" t="s">
        <v>234</v>
      </c>
      <c r="B162" s="25" t="s">
        <v>141</v>
      </c>
    </row>
    <row r="163" customHeight="1" spans="1:2">
      <c r="A163" s="25" t="s">
        <v>235</v>
      </c>
      <c r="B163" s="25" t="s">
        <v>163</v>
      </c>
    </row>
    <row r="164" customHeight="1" spans="1:2">
      <c r="A164" s="25" t="s">
        <v>235</v>
      </c>
      <c r="B164" s="25" t="s">
        <v>163</v>
      </c>
    </row>
    <row r="165" customHeight="1" spans="1:2">
      <c r="A165" s="25" t="s">
        <v>235</v>
      </c>
      <c r="B165" s="25" t="s">
        <v>163</v>
      </c>
    </row>
    <row r="166" customHeight="1" spans="1:2">
      <c r="A166" s="25" t="s">
        <v>236</v>
      </c>
      <c r="B166" s="25" t="s">
        <v>218</v>
      </c>
    </row>
    <row r="167" customHeight="1" spans="1:2">
      <c r="A167" s="25" t="s">
        <v>237</v>
      </c>
      <c r="B167" s="25" t="s">
        <v>238</v>
      </c>
    </row>
    <row r="168" customHeight="1" spans="1:2">
      <c r="A168" s="25" t="s">
        <v>239</v>
      </c>
      <c r="B168" s="25" t="s">
        <v>240</v>
      </c>
    </row>
    <row r="169" customHeight="1" spans="1:2">
      <c r="A169" s="25" t="s">
        <v>241</v>
      </c>
      <c r="B169" s="25" t="s">
        <v>233</v>
      </c>
    </row>
    <row r="170" customHeight="1" spans="1:2">
      <c r="A170" s="25" t="s">
        <v>242</v>
      </c>
      <c r="B170" s="25" t="s">
        <v>162</v>
      </c>
    </row>
    <row r="171" customHeight="1" spans="1:2">
      <c r="A171" s="25" t="s">
        <v>242</v>
      </c>
      <c r="B171" s="25" t="s">
        <v>162</v>
      </c>
    </row>
    <row r="172" customHeight="1" spans="1:2">
      <c r="A172" s="25" t="s">
        <v>242</v>
      </c>
      <c r="B172" s="25" t="s">
        <v>162</v>
      </c>
    </row>
    <row r="173" customHeight="1" spans="1:2">
      <c r="A173" s="25" t="s">
        <v>242</v>
      </c>
      <c r="B173" s="25" t="s">
        <v>162</v>
      </c>
    </row>
    <row r="174" customHeight="1" spans="1:2">
      <c r="A174" s="25" t="s">
        <v>243</v>
      </c>
      <c r="B174" s="25" t="s">
        <v>244</v>
      </c>
    </row>
    <row r="175" customHeight="1" spans="1:2">
      <c r="A175" s="25" t="s">
        <v>245</v>
      </c>
      <c r="B175" s="25" t="s">
        <v>246</v>
      </c>
    </row>
    <row r="176" customHeight="1" spans="1:2">
      <c r="A176" s="25" t="s">
        <v>247</v>
      </c>
      <c r="B176" s="25" t="s">
        <v>176</v>
      </c>
    </row>
    <row r="177" customHeight="1" spans="1:2">
      <c r="A177" s="25" t="s">
        <v>248</v>
      </c>
      <c r="B177" s="25" t="s">
        <v>249</v>
      </c>
    </row>
    <row r="178" customHeight="1" spans="1:2">
      <c r="A178" s="25" t="s">
        <v>250</v>
      </c>
      <c r="B178" s="25" t="s">
        <v>165</v>
      </c>
    </row>
    <row r="179" customHeight="1" spans="1:2">
      <c r="A179" s="25" t="s">
        <v>251</v>
      </c>
      <c r="B179" s="25" t="s">
        <v>171</v>
      </c>
    </row>
    <row r="180" customHeight="1" spans="1:2">
      <c r="A180" s="25" t="s">
        <v>252</v>
      </c>
      <c r="B180" s="25" t="s">
        <v>253</v>
      </c>
    </row>
    <row r="181" customHeight="1" spans="1:2">
      <c r="A181" s="25" t="s">
        <v>254</v>
      </c>
      <c r="B181" s="25" t="s">
        <v>255</v>
      </c>
    </row>
    <row r="182" customHeight="1" spans="1:2">
      <c r="A182" s="25" t="s">
        <v>256</v>
      </c>
      <c r="B182" s="25" t="s">
        <v>257</v>
      </c>
    </row>
    <row r="183" customHeight="1" spans="1:2">
      <c r="A183" s="25" t="s">
        <v>256</v>
      </c>
      <c r="B183" s="25" t="s">
        <v>257</v>
      </c>
    </row>
    <row r="184" customHeight="1" spans="1:2">
      <c r="A184" s="25" t="s">
        <v>258</v>
      </c>
      <c r="B184" s="25" t="s">
        <v>259</v>
      </c>
    </row>
    <row r="185" customHeight="1" spans="1:2">
      <c r="A185" s="25" t="s">
        <v>260</v>
      </c>
      <c r="B185" s="25" t="s">
        <v>121</v>
      </c>
    </row>
    <row r="186" customHeight="1" spans="1:2">
      <c r="A186" s="25" t="s">
        <v>261</v>
      </c>
      <c r="B186" s="25" t="s">
        <v>171</v>
      </c>
    </row>
    <row r="187" customHeight="1" spans="1:2">
      <c r="A187" s="25" t="s">
        <v>262</v>
      </c>
      <c r="B187" s="25" t="s">
        <v>171</v>
      </c>
    </row>
    <row r="188" customHeight="1" spans="1:2">
      <c r="A188" s="25" t="s">
        <v>263</v>
      </c>
      <c r="B188" s="25" t="s">
        <v>194</v>
      </c>
    </row>
    <row r="189" customHeight="1" spans="1:2">
      <c r="A189" s="25" t="s">
        <v>264</v>
      </c>
      <c r="B189" s="25" t="s">
        <v>246</v>
      </c>
    </row>
    <row r="190" customHeight="1" spans="1:2">
      <c r="A190" s="25" t="s">
        <v>265</v>
      </c>
      <c r="B190" s="25" t="s">
        <v>152</v>
      </c>
    </row>
    <row r="191" customHeight="1" spans="1:2">
      <c r="A191" s="25" t="s">
        <v>266</v>
      </c>
      <c r="B191" s="25" t="s">
        <v>267</v>
      </c>
    </row>
    <row r="192" customHeight="1" spans="1:2">
      <c r="A192" s="25" t="s">
        <v>266</v>
      </c>
      <c r="B192" s="25" t="s">
        <v>238</v>
      </c>
    </row>
    <row r="193" customHeight="1" spans="1:2">
      <c r="A193" s="25" t="s">
        <v>266</v>
      </c>
      <c r="B193" s="25" t="s">
        <v>233</v>
      </c>
    </row>
    <row r="194" customHeight="1" spans="1:2">
      <c r="A194" s="25" t="s">
        <v>268</v>
      </c>
      <c r="B194" s="25" t="s">
        <v>244</v>
      </c>
    </row>
    <row r="195" customHeight="1" spans="1:2">
      <c r="A195" s="25" t="s">
        <v>268</v>
      </c>
      <c r="B195" s="25" t="s">
        <v>244</v>
      </c>
    </row>
    <row r="196" customHeight="1" spans="1:2">
      <c r="A196" s="25" t="s">
        <v>268</v>
      </c>
      <c r="B196" s="25" t="s">
        <v>244</v>
      </c>
    </row>
    <row r="197" customHeight="1" spans="1:2">
      <c r="A197" s="25" t="s">
        <v>268</v>
      </c>
      <c r="B197" s="25" t="s">
        <v>244</v>
      </c>
    </row>
    <row r="198" customHeight="1" spans="1:2">
      <c r="A198" s="25" t="s">
        <v>269</v>
      </c>
      <c r="B198" s="25" t="s">
        <v>270</v>
      </c>
    </row>
    <row r="199" customHeight="1" spans="1:2">
      <c r="A199" s="25" t="s">
        <v>271</v>
      </c>
      <c r="B199" s="25" t="s">
        <v>272</v>
      </c>
    </row>
    <row r="200" customHeight="1" spans="1:2">
      <c r="A200" s="25" t="s">
        <v>273</v>
      </c>
      <c r="B200" s="25" t="s">
        <v>274</v>
      </c>
    </row>
    <row r="201" customHeight="1" spans="1:2">
      <c r="A201" s="25" t="s">
        <v>275</v>
      </c>
      <c r="B201" s="25" t="s">
        <v>246</v>
      </c>
    </row>
    <row r="202" customHeight="1" spans="1:2">
      <c r="A202" s="25" t="s">
        <v>276</v>
      </c>
      <c r="B202" s="25" t="s">
        <v>277</v>
      </c>
    </row>
    <row r="203" customHeight="1" spans="1:2">
      <c r="A203" s="25" t="s">
        <v>278</v>
      </c>
      <c r="B203" s="25" t="s">
        <v>279</v>
      </c>
    </row>
    <row r="204" customHeight="1" spans="1:2">
      <c r="A204" s="25" t="s">
        <v>280</v>
      </c>
      <c r="B204" s="25" t="s">
        <v>230</v>
      </c>
    </row>
    <row r="205" customHeight="1" spans="1:2">
      <c r="A205" s="25" t="s">
        <v>280</v>
      </c>
      <c r="B205" s="25" t="s">
        <v>270</v>
      </c>
    </row>
    <row r="206" customHeight="1" spans="1:2">
      <c r="A206" s="25" t="s">
        <v>281</v>
      </c>
      <c r="B206" s="25" t="s">
        <v>249</v>
      </c>
    </row>
    <row r="207" customHeight="1" spans="1:2">
      <c r="A207" s="25" t="s">
        <v>281</v>
      </c>
      <c r="B207" s="25" t="s">
        <v>249</v>
      </c>
    </row>
    <row r="208" customHeight="1" spans="1:2">
      <c r="A208" s="25" t="s">
        <v>282</v>
      </c>
      <c r="B208" s="25" t="s">
        <v>267</v>
      </c>
    </row>
    <row r="209" customHeight="1" spans="1:2">
      <c r="A209" s="25" t="s">
        <v>282</v>
      </c>
      <c r="B209" s="25" t="s">
        <v>267</v>
      </c>
    </row>
    <row r="210" customHeight="1" spans="1:2">
      <c r="A210" s="25" t="s">
        <v>282</v>
      </c>
      <c r="B210" s="25" t="s">
        <v>267</v>
      </c>
    </row>
    <row r="211" customHeight="1" spans="1:2">
      <c r="A211" s="25" t="s">
        <v>282</v>
      </c>
      <c r="B211" s="25" t="s">
        <v>267</v>
      </c>
    </row>
    <row r="212" customHeight="1" spans="1:2">
      <c r="A212" s="25" t="s">
        <v>283</v>
      </c>
      <c r="B212" s="25" t="s">
        <v>284</v>
      </c>
    </row>
    <row r="213" customHeight="1" spans="1:2">
      <c r="A213" s="25" t="s">
        <v>283</v>
      </c>
      <c r="B213" s="25" t="s">
        <v>285</v>
      </c>
    </row>
    <row r="214" customHeight="1" spans="1:2">
      <c r="A214" s="25" t="s">
        <v>283</v>
      </c>
      <c r="B214" s="25" t="s">
        <v>178</v>
      </c>
    </row>
    <row r="215" customHeight="1" spans="1:2">
      <c r="A215" s="25" t="s">
        <v>283</v>
      </c>
      <c r="B215" s="25" t="s">
        <v>267</v>
      </c>
    </row>
    <row r="216" customHeight="1" spans="1:2">
      <c r="A216" s="25" t="s">
        <v>283</v>
      </c>
      <c r="B216" s="25" t="s">
        <v>286</v>
      </c>
    </row>
    <row r="217" customHeight="1" spans="1:2">
      <c r="A217" s="25" t="s">
        <v>283</v>
      </c>
      <c r="B217" s="25" t="s">
        <v>178</v>
      </c>
    </row>
    <row r="218" customHeight="1" spans="1:2">
      <c r="A218" s="25" t="s">
        <v>287</v>
      </c>
      <c r="B218" s="25" t="s">
        <v>288</v>
      </c>
    </row>
    <row r="219" customHeight="1" spans="1:2">
      <c r="A219" s="25" t="s">
        <v>287</v>
      </c>
      <c r="B219" s="25" t="s">
        <v>289</v>
      </c>
    </row>
    <row r="220" customHeight="1" spans="1:2">
      <c r="A220" s="25" t="s">
        <v>290</v>
      </c>
      <c r="B220" s="25" t="s">
        <v>288</v>
      </c>
    </row>
    <row r="221" customHeight="1" spans="1:2">
      <c r="A221" s="25" t="s">
        <v>290</v>
      </c>
      <c r="B221" s="25" t="s">
        <v>291</v>
      </c>
    </row>
    <row r="222" customHeight="1" spans="1:2">
      <c r="A222" s="25" t="s">
        <v>292</v>
      </c>
      <c r="B222" s="25" t="s">
        <v>244</v>
      </c>
    </row>
    <row r="223" customHeight="1" spans="1:2">
      <c r="A223" s="25" t="s">
        <v>293</v>
      </c>
      <c r="B223" s="25" t="s">
        <v>284</v>
      </c>
    </row>
    <row r="224" customHeight="1" spans="1:2">
      <c r="A224" s="25" t="s">
        <v>294</v>
      </c>
      <c r="B224" s="25" t="s">
        <v>257</v>
      </c>
    </row>
    <row r="225" customHeight="1" spans="1:2">
      <c r="A225" s="25" t="s">
        <v>294</v>
      </c>
      <c r="B225" s="25" t="s">
        <v>257</v>
      </c>
    </row>
    <row r="226" customHeight="1" spans="1:2">
      <c r="A226" s="25" t="s">
        <v>294</v>
      </c>
      <c r="B226" s="25" t="s">
        <v>257</v>
      </c>
    </row>
    <row r="227" customHeight="1" spans="1:2">
      <c r="A227" s="25" t="s">
        <v>294</v>
      </c>
      <c r="B227" s="25" t="s">
        <v>257</v>
      </c>
    </row>
    <row r="228" customHeight="1" spans="1:2">
      <c r="A228" s="25" t="s">
        <v>294</v>
      </c>
      <c r="B228" s="25" t="s">
        <v>255</v>
      </c>
    </row>
    <row r="229" customHeight="1" spans="1:2">
      <c r="A229" s="25" t="s">
        <v>295</v>
      </c>
      <c r="B229" s="25" t="s">
        <v>174</v>
      </c>
    </row>
    <row r="230" customHeight="1" spans="1:2">
      <c r="A230" s="25" t="s">
        <v>296</v>
      </c>
      <c r="B230" s="25" t="s">
        <v>289</v>
      </c>
    </row>
    <row r="231" customHeight="1" spans="1:2">
      <c r="A231" s="25" t="s">
        <v>297</v>
      </c>
      <c r="B231" s="25" t="s">
        <v>286</v>
      </c>
    </row>
    <row r="232" customHeight="1" spans="1:2">
      <c r="A232" s="25" t="s">
        <v>298</v>
      </c>
      <c r="B232" s="25" t="s">
        <v>249</v>
      </c>
    </row>
    <row r="233" customHeight="1" spans="1:2">
      <c r="A233" s="25" t="s">
        <v>298</v>
      </c>
      <c r="B233" s="25" t="s">
        <v>249</v>
      </c>
    </row>
    <row r="234" customHeight="1" spans="1:2">
      <c r="A234" s="25" t="s">
        <v>298</v>
      </c>
      <c r="B234" s="25" t="s">
        <v>249</v>
      </c>
    </row>
    <row r="235" customHeight="1" spans="1:2">
      <c r="A235" s="25" t="s">
        <v>299</v>
      </c>
      <c r="B235" s="25" t="s">
        <v>257</v>
      </c>
    </row>
    <row r="236" customHeight="1" spans="1:2">
      <c r="A236" s="25" t="s">
        <v>300</v>
      </c>
      <c r="B236" s="25" t="s">
        <v>176</v>
      </c>
    </row>
    <row r="237" customHeight="1" spans="1:2">
      <c r="A237" s="25" t="s">
        <v>301</v>
      </c>
      <c r="B237" s="25" t="s">
        <v>302</v>
      </c>
    </row>
    <row r="238" customHeight="1" spans="1:2">
      <c r="A238" s="25" t="s">
        <v>303</v>
      </c>
      <c r="B238" s="25" t="s">
        <v>304</v>
      </c>
    </row>
    <row r="239" customHeight="1" spans="1:2">
      <c r="A239" s="25" t="s">
        <v>305</v>
      </c>
      <c r="B239" s="25" t="s">
        <v>302</v>
      </c>
    </row>
    <row r="240" customHeight="1" spans="1:2">
      <c r="A240" s="25" t="s">
        <v>306</v>
      </c>
      <c r="B240" s="25" t="s">
        <v>302</v>
      </c>
    </row>
    <row r="241" customHeight="1" spans="1:2">
      <c r="A241" s="25" t="s">
        <v>307</v>
      </c>
      <c r="B241" s="25" t="s">
        <v>178</v>
      </c>
    </row>
    <row r="242" customHeight="1" spans="1:2">
      <c r="A242" s="25" t="s">
        <v>308</v>
      </c>
      <c r="B242" s="25" t="s">
        <v>257</v>
      </c>
    </row>
    <row r="243" customHeight="1" spans="1:2">
      <c r="A243" s="25" t="s">
        <v>309</v>
      </c>
      <c r="B243" s="25" t="s">
        <v>291</v>
      </c>
    </row>
    <row r="244" customHeight="1" spans="1:2">
      <c r="A244" s="25" t="s">
        <v>310</v>
      </c>
      <c r="B244" s="25" t="s">
        <v>285</v>
      </c>
    </row>
    <row r="245" customHeight="1" spans="1:2">
      <c r="A245" s="25" t="s">
        <v>311</v>
      </c>
      <c r="B245" s="25" t="s">
        <v>291</v>
      </c>
    </row>
    <row r="246" customHeight="1" spans="1:2">
      <c r="A246" s="25" t="s">
        <v>312</v>
      </c>
      <c r="B246" s="25" t="s">
        <v>288</v>
      </c>
    </row>
    <row r="247" customHeight="1" spans="1:2">
      <c r="A247" s="25" t="s">
        <v>313</v>
      </c>
      <c r="B247" s="25" t="s">
        <v>304</v>
      </c>
    </row>
    <row r="248" customHeight="1" spans="1:2">
      <c r="A248" s="25" t="s">
        <v>314</v>
      </c>
      <c r="B248" s="25" t="s">
        <v>291</v>
      </c>
    </row>
    <row r="249" customHeight="1" spans="1:2">
      <c r="A249" s="25" t="s">
        <v>315</v>
      </c>
      <c r="B249" s="25" t="s">
        <v>316</v>
      </c>
    </row>
    <row r="250" customHeight="1" spans="1:2">
      <c r="A250" s="25" t="s">
        <v>315</v>
      </c>
      <c r="B250" s="25" t="s">
        <v>317</v>
      </c>
    </row>
    <row r="251" customHeight="1" spans="1:2">
      <c r="A251" s="25" t="s">
        <v>318</v>
      </c>
      <c r="B251" s="25" t="s">
        <v>319</v>
      </c>
    </row>
    <row r="252" customHeight="1" spans="1:2">
      <c r="A252" s="25" t="s">
        <v>320</v>
      </c>
      <c r="B252" s="25" t="s">
        <v>272</v>
      </c>
    </row>
    <row r="253" customHeight="1" spans="1:2">
      <c r="A253" s="25" t="s">
        <v>321</v>
      </c>
      <c r="B253" s="25" t="s">
        <v>322</v>
      </c>
    </row>
    <row r="254" customHeight="1" spans="1:2">
      <c r="A254" s="25" t="s">
        <v>321</v>
      </c>
      <c r="B254" s="25" t="s">
        <v>322</v>
      </c>
    </row>
    <row r="255" customHeight="1" spans="1:2">
      <c r="A255" s="25" t="s">
        <v>323</v>
      </c>
      <c r="B255" s="25" t="s">
        <v>324</v>
      </c>
    </row>
    <row r="256" customHeight="1" spans="1:2">
      <c r="A256" s="25" t="s">
        <v>325</v>
      </c>
      <c r="B256" s="25" t="s">
        <v>326</v>
      </c>
    </row>
    <row r="257" customHeight="1" spans="1:2">
      <c r="A257" s="25" t="s">
        <v>327</v>
      </c>
      <c r="B257" s="25" t="s">
        <v>284</v>
      </c>
    </row>
    <row r="258" customHeight="1" spans="1:2">
      <c r="A258" s="25" t="s">
        <v>327</v>
      </c>
      <c r="B258" s="25" t="s">
        <v>182</v>
      </c>
    </row>
    <row r="259" customHeight="1" spans="1:2">
      <c r="A259" s="25" t="s">
        <v>328</v>
      </c>
      <c r="B259" s="25" t="s">
        <v>329</v>
      </c>
    </row>
    <row r="260" customHeight="1" spans="1:2">
      <c r="A260" s="25" t="s">
        <v>330</v>
      </c>
      <c r="B260" s="25" t="s">
        <v>184</v>
      </c>
    </row>
    <row r="261" customHeight="1" spans="1:2">
      <c r="A261" s="25" t="s">
        <v>330</v>
      </c>
      <c r="B261" s="25" t="s">
        <v>329</v>
      </c>
    </row>
    <row r="262" customHeight="1" spans="1:2">
      <c r="A262" s="25" t="s">
        <v>330</v>
      </c>
      <c r="B262" s="25" t="s">
        <v>331</v>
      </c>
    </row>
    <row r="263" customHeight="1" spans="1:2">
      <c r="A263" s="25" t="s">
        <v>330</v>
      </c>
      <c r="B263" s="25" t="s">
        <v>332</v>
      </c>
    </row>
    <row r="264" customHeight="1" spans="1:2">
      <c r="A264" s="25" t="s">
        <v>330</v>
      </c>
      <c r="B264" s="25" t="s">
        <v>329</v>
      </c>
    </row>
    <row r="265" customHeight="1" spans="1:2">
      <c r="A265" s="33" t="s">
        <v>330</v>
      </c>
      <c r="B265" s="25" t="s">
        <v>253</v>
      </c>
    </row>
    <row r="266" customHeight="1" spans="1:2">
      <c r="A266" s="25" t="s">
        <v>330</v>
      </c>
      <c r="B266" s="25" t="s">
        <v>333</v>
      </c>
    </row>
    <row r="267" customHeight="1" spans="1:2">
      <c r="A267" s="25" t="s">
        <v>334</v>
      </c>
      <c r="B267" s="25" t="s">
        <v>180</v>
      </c>
    </row>
    <row r="268" customHeight="1" spans="1:2">
      <c r="A268" s="25" t="s">
        <v>335</v>
      </c>
      <c r="B268" s="25" t="s">
        <v>336</v>
      </c>
    </row>
    <row r="269" customHeight="1" spans="1:2">
      <c r="A269" s="25" t="s">
        <v>335</v>
      </c>
      <c r="B269" s="25" t="s">
        <v>336</v>
      </c>
    </row>
    <row r="270" customHeight="1" spans="1:2">
      <c r="A270" s="25" t="s">
        <v>335</v>
      </c>
      <c r="B270" s="25" t="s">
        <v>180</v>
      </c>
    </row>
    <row r="271" customHeight="1" spans="1:2">
      <c r="A271" s="25" t="s">
        <v>335</v>
      </c>
      <c r="B271" s="25" t="s">
        <v>336</v>
      </c>
    </row>
    <row r="272" customHeight="1" spans="1:2">
      <c r="A272" s="25" t="s">
        <v>337</v>
      </c>
      <c r="B272" s="25" t="s">
        <v>338</v>
      </c>
    </row>
    <row r="273" customHeight="1" spans="1:2">
      <c r="A273" s="25" t="s">
        <v>339</v>
      </c>
      <c r="B273" s="25" t="s">
        <v>340</v>
      </c>
    </row>
    <row r="274" customHeight="1" spans="1:2">
      <c r="A274" s="25" t="s">
        <v>341</v>
      </c>
      <c r="B274" s="25" t="s">
        <v>342</v>
      </c>
    </row>
    <row r="275" customHeight="1" spans="1:2">
      <c r="A275" s="25" t="s">
        <v>343</v>
      </c>
      <c r="B275" s="25" t="s">
        <v>316</v>
      </c>
    </row>
    <row r="276" customHeight="1" spans="1:2">
      <c r="A276" s="25" t="s">
        <v>344</v>
      </c>
      <c r="B276" s="25" t="s">
        <v>316</v>
      </c>
    </row>
    <row r="277" customHeight="1" spans="1:2">
      <c r="A277" s="25" t="s">
        <v>345</v>
      </c>
      <c r="B277" s="25" t="s">
        <v>346</v>
      </c>
    </row>
    <row r="278" customHeight="1" spans="1:2">
      <c r="A278" s="25" t="s">
        <v>347</v>
      </c>
      <c r="B278" s="25" t="s">
        <v>348</v>
      </c>
    </row>
    <row r="279" customHeight="1" spans="1:2">
      <c r="A279" s="25" t="s">
        <v>349</v>
      </c>
      <c r="B279" s="25" t="s">
        <v>350</v>
      </c>
    </row>
    <row r="280" customHeight="1" spans="1:2">
      <c r="A280" s="25" t="s">
        <v>351</v>
      </c>
      <c r="B280" s="25" t="s">
        <v>352</v>
      </c>
    </row>
    <row r="281" customHeight="1" spans="1:2">
      <c r="A281" s="25" t="s">
        <v>353</v>
      </c>
      <c r="B281" s="25" t="s">
        <v>354</v>
      </c>
    </row>
    <row r="282" customHeight="1" spans="1:2">
      <c r="A282" s="25" t="s">
        <v>355</v>
      </c>
      <c r="B282" s="25" t="s">
        <v>180</v>
      </c>
    </row>
    <row r="283" customHeight="1" spans="1:2">
      <c r="A283" s="25" t="s">
        <v>356</v>
      </c>
      <c r="B283" s="25" t="s">
        <v>357</v>
      </c>
    </row>
    <row r="284" customHeight="1" spans="1:2">
      <c r="A284" s="25" t="s">
        <v>358</v>
      </c>
      <c r="B284" s="25" t="s">
        <v>359</v>
      </c>
    </row>
    <row r="285" customHeight="1" spans="1:2">
      <c r="A285" s="25" t="s">
        <v>360</v>
      </c>
      <c r="B285" s="25" t="s">
        <v>272</v>
      </c>
    </row>
    <row r="286" customHeight="1" spans="1:2">
      <c r="A286" s="25" t="s">
        <v>361</v>
      </c>
      <c r="B286" s="25" t="s">
        <v>362</v>
      </c>
    </row>
    <row r="287" customHeight="1" spans="1:2">
      <c r="A287" s="25" t="s">
        <v>363</v>
      </c>
      <c r="B287" s="25" t="s">
        <v>279</v>
      </c>
    </row>
    <row r="288" customHeight="1" spans="1:2">
      <c r="A288" s="25" t="s">
        <v>364</v>
      </c>
      <c r="B288" s="25" t="s">
        <v>365</v>
      </c>
    </row>
    <row r="289" customHeight="1" spans="1:2">
      <c r="A289" s="25" t="s">
        <v>366</v>
      </c>
      <c r="B289" s="25" t="s">
        <v>367</v>
      </c>
    </row>
    <row r="290" customHeight="1" spans="1:2">
      <c r="A290" s="25" t="s">
        <v>368</v>
      </c>
      <c r="B290" s="25" t="s">
        <v>369</v>
      </c>
    </row>
    <row r="291" customHeight="1" spans="1:2">
      <c r="A291" s="25" t="s">
        <v>370</v>
      </c>
      <c r="B291" s="25" t="s">
        <v>371</v>
      </c>
    </row>
    <row r="292" customHeight="1" spans="1:2">
      <c r="A292" s="25" t="s">
        <v>372</v>
      </c>
      <c r="B292" s="25" t="s">
        <v>373</v>
      </c>
    </row>
    <row r="293" customHeight="1" spans="1:2">
      <c r="A293" s="25" t="s">
        <v>374</v>
      </c>
      <c r="B293" s="25" t="s">
        <v>375</v>
      </c>
    </row>
    <row r="294" customHeight="1" spans="1:2">
      <c r="A294" s="25" t="s">
        <v>376</v>
      </c>
      <c r="B294" s="25" t="s">
        <v>377</v>
      </c>
    </row>
    <row r="295" customHeight="1" spans="1:2">
      <c r="A295" s="25" t="s">
        <v>378</v>
      </c>
      <c r="B295" s="25" t="s">
        <v>379</v>
      </c>
    </row>
    <row r="296" customHeight="1" spans="1:2">
      <c r="A296" s="25" t="s">
        <v>380</v>
      </c>
      <c r="B296" s="25" t="s">
        <v>381</v>
      </c>
    </row>
    <row r="297" customHeight="1" spans="1:2">
      <c r="A297" s="25" t="s">
        <v>382</v>
      </c>
      <c r="B297" s="25" t="s">
        <v>180</v>
      </c>
    </row>
    <row r="298" customHeight="1" spans="1:2">
      <c r="A298" s="25" t="s">
        <v>383</v>
      </c>
      <c r="B298" s="25" t="s">
        <v>119</v>
      </c>
    </row>
    <row r="299" customHeight="1" spans="1:2">
      <c r="A299" s="25" t="s">
        <v>384</v>
      </c>
      <c r="B299" s="25" t="s">
        <v>163</v>
      </c>
    </row>
    <row r="300" customHeight="1" spans="1:2">
      <c r="A300" s="5" t="s">
        <v>385</v>
      </c>
      <c r="B300" s="25" t="s">
        <v>194</v>
      </c>
    </row>
    <row r="301" customHeight="1" spans="1:2">
      <c r="A301" s="25" t="s">
        <v>386</v>
      </c>
      <c r="B301" s="25" t="s">
        <v>222</v>
      </c>
    </row>
    <row r="302" customHeight="1" spans="1:2">
      <c r="A302" s="25"/>
      <c r="B302" s="25"/>
    </row>
    <row r="303" customHeight="1" spans="1:2">
      <c r="A303" s="5" t="s">
        <v>295</v>
      </c>
      <c r="B303" s="25" t="s">
        <v>257</v>
      </c>
    </row>
    <row r="304" customHeight="1" spans="1:2">
      <c r="A304" s="25" t="s">
        <v>387</v>
      </c>
      <c r="B304" s="25" t="s">
        <v>336</v>
      </c>
    </row>
    <row r="305" customHeight="1" spans="1:2">
      <c r="A305" s="25" t="s">
        <v>388</v>
      </c>
      <c r="B305" s="25" t="s">
        <v>165</v>
      </c>
    </row>
    <row r="306" customHeight="1" spans="1:2">
      <c r="A306" s="25" t="s">
        <v>389</v>
      </c>
      <c r="B306" s="25" t="s">
        <v>111</v>
      </c>
    </row>
    <row r="307" customHeight="1" spans="1:2">
      <c r="A307" s="5" t="s">
        <v>147</v>
      </c>
      <c r="B307" s="25" t="s">
        <v>132</v>
      </c>
    </row>
    <row r="308" customHeight="1" spans="1:2">
      <c r="A308" s="25" t="s">
        <v>248</v>
      </c>
      <c r="B308" s="25" t="s">
        <v>249</v>
      </c>
    </row>
    <row r="309" customHeight="1" spans="1:2">
      <c r="A309" s="25" t="s">
        <v>390</v>
      </c>
      <c r="B309" s="25" t="s">
        <v>123</v>
      </c>
    </row>
    <row r="310" customHeight="1" spans="1:2">
      <c r="A310" s="25" t="s">
        <v>391</v>
      </c>
      <c r="B310" s="25" t="s">
        <v>244</v>
      </c>
    </row>
    <row r="311" customHeight="1" spans="1:2">
      <c r="A311" s="25" t="s">
        <v>392</v>
      </c>
      <c r="B311" s="25" t="s">
        <v>215</v>
      </c>
    </row>
    <row r="312" customHeight="1" spans="1:2">
      <c r="A312" s="25" t="s">
        <v>393</v>
      </c>
      <c r="B312" s="25" t="s">
        <v>99</v>
      </c>
    </row>
    <row r="313" customHeight="1" spans="1:2">
      <c r="A313" s="25" t="s">
        <v>275</v>
      </c>
      <c r="B313" s="25" t="s">
        <v>218</v>
      </c>
    </row>
    <row r="314" customHeight="1" spans="1:2">
      <c r="A314" s="25" t="s">
        <v>224</v>
      </c>
      <c r="B314" s="25" t="s">
        <v>246</v>
      </c>
    </row>
    <row r="315" customHeight="1" spans="1:2">
      <c r="A315" s="25" t="s">
        <v>394</v>
      </c>
      <c r="B315" s="25" t="s">
        <v>215</v>
      </c>
    </row>
    <row r="316" customHeight="1" spans="1:2">
      <c r="A316" s="25" t="s">
        <v>321</v>
      </c>
      <c r="B316" s="25" t="s">
        <v>322</v>
      </c>
    </row>
    <row r="317" customHeight="1" spans="1:2">
      <c r="A317" s="25" t="s">
        <v>250</v>
      </c>
      <c r="B317" s="25" t="s">
        <v>218</v>
      </c>
    </row>
    <row r="318" customHeight="1" spans="1:2">
      <c r="A318" s="25" t="s">
        <v>296</v>
      </c>
      <c r="B318" s="25" t="s">
        <v>395</v>
      </c>
    </row>
    <row r="319" customHeight="1" spans="1:2">
      <c r="A319" s="25" t="s">
        <v>252</v>
      </c>
      <c r="B319" s="25" t="s">
        <v>253</v>
      </c>
    </row>
    <row r="320" customHeight="1" spans="1:2">
      <c r="A320" s="25" t="s">
        <v>247</v>
      </c>
      <c r="B320" s="25" t="s">
        <v>176</v>
      </c>
    </row>
    <row r="321" customHeight="1" spans="1:2">
      <c r="A321" s="34" t="s">
        <v>396</v>
      </c>
      <c r="B321" s="34" t="s">
        <v>88</v>
      </c>
    </row>
    <row r="322" customHeight="1" spans="1:2">
      <c r="A322" s="25" t="s">
        <v>397</v>
      </c>
      <c r="B322" s="25" t="s">
        <v>395</v>
      </c>
    </row>
    <row r="323" customHeight="1" spans="1:2">
      <c r="A323" s="25" t="s">
        <v>398</v>
      </c>
      <c r="B323" s="25" t="s">
        <v>141</v>
      </c>
    </row>
    <row r="324" customHeight="1" spans="1:2">
      <c r="A324" s="25" t="s">
        <v>399</v>
      </c>
      <c r="B324" s="25" t="s">
        <v>163</v>
      </c>
    </row>
    <row r="325" customHeight="1" spans="1:2">
      <c r="A325" s="25" t="s">
        <v>206</v>
      </c>
      <c r="B325" s="25" t="s">
        <v>194</v>
      </c>
    </row>
    <row r="326" customHeight="1" spans="1:2">
      <c r="A326" s="25" t="s">
        <v>228</v>
      </c>
      <c r="B326" s="25" t="s">
        <v>222</v>
      </c>
    </row>
    <row r="327" customHeight="1" spans="1:2">
      <c r="A327" s="25" t="s">
        <v>335</v>
      </c>
      <c r="B327" s="25" t="s">
        <v>182</v>
      </c>
    </row>
    <row r="328" customHeight="1" spans="1:2">
      <c r="A328" s="25" t="s">
        <v>400</v>
      </c>
      <c r="B328" s="25" t="s">
        <v>163</v>
      </c>
    </row>
    <row r="329" customHeight="1" spans="1:2">
      <c r="A329" s="5" t="s">
        <v>295</v>
      </c>
      <c r="B329" s="25" t="s">
        <v>174</v>
      </c>
    </row>
    <row r="330" customHeight="1" spans="1:2">
      <c r="A330" s="25" t="s">
        <v>401</v>
      </c>
      <c r="B330" s="25" t="s">
        <v>162</v>
      </c>
    </row>
    <row r="331" customHeight="1" spans="1:2">
      <c r="A331" s="25" t="s">
        <v>216</v>
      </c>
      <c r="B331" s="25" t="s">
        <v>146</v>
      </c>
    </row>
    <row r="332" customHeight="1" spans="1:2">
      <c r="A332" s="25" t="s">
        <v>402</v>
      </c>
      <c r="B332" s="25" t="s">
        <v>403</v>
      </c>
    </row>
    <row r="333" customHeight="1" spans="1:2">
      <c r="A333" s="25" t="s">
        <v>404</v>
      </c>
      <c r="B333" s="25" t="s">
        <v>222</v>
      </c>
    </row>
    <row r="334" customHeight="1" spans="1:2">
      <c r="A334" s="25" t="s">
        <v>405</v>
      </c>
      <c r="B334" s="25" t="s">
        <v>233</v>
      </c>
    </row>
    <row r="335" customHeight="1" spans="1:2">
      <c r="A335" s="25" t="s">
        <v>406</v>
      </c>
      <c r="B335" s="25" t="s">
        <v>194</v>
      </c>
    </row>
    <row r="336" customHeight="1" spans="1:2">
      <c r="A336" s="25" t="s">
        <v>407</v>
      </c>
      <c r="B336" s="25" t="s">
        <v>233</v>
      </c>
    </row>
    <row r="337" customHeight="1" spans="1:2">
      <c r="A337" s="25" t="s">
        <v>408</v>
      </c>
      <c r="B337" s="25" t="s">
        <v>409</v>
      </c>
    </row>
    <row r="338" customHeight="1" spans="1:2">
      <c r="A338" s="25" t="s">
        <v>410</v>
      </c>
      <c r="B338" s="25" t="s">
        <v>146</v>
      </c>
    </row>
    <row r="339" customHeight="1" spans="1:2">
      <c r="A339" s="25" t="s">
        <v>411</v>
      </c>
      <c r="B339" s="25" t="s">
        <v>412</v>
      </c>
    </row>
    <row r="340" customHeight="1" spans="1:2">
      <c r="A340" s="25" t="s">
        <v>413</v>
      </c>
      <c r="B340" s="25" t="s">
        <v>121</v>
      </c>
    </row>
    <row r="341" customHeight="1" spans="1:2">
      <c r="A341" s="25" t="s">
        <v>414</v>
      </c>
      <c r="B341" s="25" t="s">
        <v>329</v>
      </c>
    </row>
    <row r="342" customHeight="1" spans="1:2">
      <c r="A342" s="25" t="s">
        <v>241</v>
      </c>
      <c r="B342" s="25" t="s">
        <v>238</v>
      </c>
    </row>
    <row r="343" customHeight="1" spans="1:2">
      <c r="A343" s="25" t="s">
        <v>415</v>
      </c>
      <c r="B343" s="25" t="s">
        <v>416</v>
      </c>
    </row>
    <row r="344" customHeight="1" spans="1:2">
      <c r="A344" s="25" t="s">
        <v>417</v>
      </c>
      <c r="B344" s="25" t="s">
        <v>418</v>
      </c>
    </row>
    <row r="345" customHeight="1" spans="1:2">
      <c r="A345" s="25" t="s">
        <v>419</v>
      </c>
      <c r="B345" s="25" t="s">
        <v>111</v>
      </c>
    </row>
    <row r="346" customHeight="1" spans="1:2">
      <c r="A346" s="25" t="s">
        <v>420</v>
      </c>
      <c r="B346" s="25" t="s">
        <v>230</v>
      </c>
    </row>
    <row r="347" customHeight="1" spans="1:2">
      <c r="A347" s="25" t="s">
        <v>421</v>
      </c>
      <c r="B347" s="25" t="s">
        <v>249</v>
      </c>
    </row>
    <row r="348" customHeight="1" spans="1:2">
      <c r="A348" s="25" t="s">
        <v>400</v>
      </c>
      <c r="B348" s="25" t="s">
        <v>162</v>
      </c>
    </row>
    <row r="349" customHeight="1" spans="1:2">
      <c r="A349" s="33" t="s">
        <v>422</v>
      </c>
      <c r="B349" s="33" t="s">
        <v>423</v>
      </c>
    </row>
    <row r="350" customHeight="1" spans="1:2">
      <c r="A350" s="33" t="s">
        <v>424</v>
      </c>
      <c r="B350" s="33" t="s">
        <v>425</v>
      </c>
    </row>
    <row r="351" customHeight="1" spans="1:2">
      <c r="A351" s="25" t="s">
        <v>327</v>
      </c>
      <c r="B351" s="25"/>
    </row>
    <row r="352" customHeight="1" spans="1:2">
      <c r="A352" s="25" t="s">
        <v>201</v>
      </c>
      <c r="B352" s="25" t="s">
        <v>168</v>
      </c>
    </row>
    <row r="353" customHeight="1" spans="1:2">
      <c r="A353" s="25" t="s">
        <v>142</v>
      </c>
      <c r="B353" s="25" t="s">
        <v>88</v>
      </c>
    </row>
    <row r="354" customHeight="1" spans="1:2">
      <c r="A354" s="25" t="s">
        <v>426</v>
      </c>
      <c r="B354" s="25" t="s">
        <v>176</v>
      </c>
    </row>
    <row r="355" customHeight="1" spans="1:2">
      <c r="A355" s="25" t="s">
        <v>427</v>
      </c>
      <c r="B355" s="25" t="s">
        <v>97</v>
      </c>
    </row>
    <row r="356" customHeight="1" spans="1:2">
      <c r="A356" s="25" t="s">
        <v>428</v>
      </c>
      <c r="B356" s="25" t="s">
        <v>429</v>
      </c>
    </row>
    <row r="357" customHeight="1" spans="1:2">
      <c r="A357" s="25" t="s">
        <v>430</v>
      </c>
      <c r="B357" s="25" t="s">
        <v>291</v>
      </c>
    </row>
    <row r="358" customHeight="1" spans="1:2">
      <c r="A358" s="25" t="s">
        <v>431</v>
      </c>
      <c r="B358" s="25" t="s">
        <v>101</v>
      </c>
    </row>
    <row r="359" customHeight="1" spans="1:2">
      <c r="A359" s="25" t="s">
        <v>432</v>
      </c>
      <c r="B359" s="25" t="s">
        <v>230</v>
      </c>
    </row>
    <row r="360" customHeight="1" spans="1:2">
      <c r="A360" s="25" t="s">
        <v>433</v>
      </c>
      <c r="B360" s="25" t="s">
        <v>158</v>
      </c>
    </row>
    <row r="361" customHeight="1" spans="1:2">
      <c r="A361" s="25" t="s">
        <v>434</v>
      </c>
      <c r="B361" s="25" t="s">
        <v>123</v>
      </c>
    </row>
    <row r="362" customHeight="1" spans="1:2">
      <c r="A362" s="25" t="s">
        <v>219</v>
      </c>
      <c r="B362" s="25" t="s">
        <v>152</v>
      </c>
    </row>
    <row r="363" customHeight="1" spans="1:2">
      <c r="A363" s="25" t="s">
        <v>268</v>
      </c>
      <c r="B363" s="25" t="s">
        <v>222</v>
      </c>
    </row>
    <row r="364" customHeight="1" spans="1:2">
      <c r="A364" s="35" t="s">
        <v>435</v>
      </c>
      <c r="B364" s="25" t="s">
        <v>121</v>
      </c>
    </row>
    <row r="365" customHeight="1" spans="1:2">
      <c r="A365" s="25" t="s">
        <v>436</v>
      </c>
      <c r="B365" s="25" t="s">
        <v>246</v>
      </c>
    </row>
    <row r="366" customHeight="1" spans="1:2">
      <c r="A366" s="25" t="s">
        <v>432</v>
      </c>
      <c r="B366" s="25" t="s">
        <v>437</v>
      </c>
    </row>
  </sheetData>
  <protectedRanges>
    <protectedRange sqref="B2 F16:F20 C16:D20 D23:E28 D7:D13" name="区域1"/>
  </protectedRanges>
  <mergeCells count="8">
    <mergeCell ref="C2:D2"/>
    <mergeCell ref="C30:H30"/>
    <mergeCell ref="D31:G31"/>
    <mergeCell ref="D33:G33"/>
    <mergeCell ref="D37:G37"/>
    <mergeCell ref="A7:A13"/>
    <mergeCell ref="A16:A20"/>
    <mergeCell ref="A23:A28"/>
  </mergeCells>
  <pageMargins left="0.7" right="0.7" top="0.75" bottom="0.75" header="0.3" footer="0.3"/>
  <pageSetup paperSize="9" orientation="portrait" horizontalDpi="600" verticalDpi="6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" master="" otherUserPermission="visible"/>
  <rangeList sheetStid="4" master="" otherUserPermission="visible">
    <arrUserId title="区域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报价</vt:lpstr>
      <vt:lpstr>报价计算公式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睡觉</cp:lastModifiedBy>
  <cp:revision>1</cp:revision>
  <dcterms:created xsi:type="dcterms:W3CDTF">1996-12-17T01:32:42Z</dcterms:created>
  <cp:lastPrinted>2008-11-17T04:27:30Z</cp:lastPrinted>
  <dcterms:modified xsi:type="dcterms:W3CDTF">2026-01-08T05:40:40Z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4372034CB2694B2887BF2FDADB64D703_13</vt:lpwstr>
  </property>
</Properties>
</file>