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第五部分 供应商零部件单件成本分解表 (2)" sheetId="1" r:id="rId1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<sst xmlns="http://schemas.openxmlformats.org/spreadsheetml/2006/main" count="157" uniqueCount="130">
  <si>
    <t>上海汽车集团股份有限公司采购部</t>
  </si>
  <si>
    <r>
      <t>第五部分：供应商零部件单件成本分解表（本文件共有</t>
    </r>
    <r>
      <rPr>
        <b/>
        <sz val="12"/>
        <rFont val="Arial"/>
        <family val="2"/>
        <charset val="0"/>
      </rPr>
      <t>8</t>
    </r>
    <r>
      <rPr>
        <b/>
        <sz val="12"/>
        <rFont val="宋体"/>
        <charset val="134"/>
      </rPr>
      <t>个部分）
本单仅供询价使用，非订单</t>
    </r>
  </si>
  <si>
    <t>询价单号：</t>
  </si>
  <si>
    <t>询价单发布日期：</t>
  </si>
  <si>
    <r>
      <t>第</t>
    </r>
    <r>
      <rPr>
        <b/>
        <sz val="12"/>
        <rFont val="Arial"/>
        <family val="2"/>
        <charset val="0"/>
      </rPr>
      <t xml:space="preserve">        </t>
    </r>
    <r>
      <rPr>
        <b/>
        <sz val="12"/>
        <rFont val="宋体"/>
        <charset val="134"/>
      </rPr>
      <t>页，共</t>
    </r>
    <r>
      <rPr>
        <b/>
        <sz val="12"/>
        <rFont val="Arial"/>
        <family val="2"/>
        <charset val="0"/>
      </rPr>
      <t xml:space="preserve">        </t>
    </r>
    <r>
      <rPr>
        <b/>
        <sz val="12"/>
        <rFont val="宋体"/>
        <charset val="134"/>
      </rPr>
      <t>页</t>
    </r>
  </si>
  <si>
    <t>报价截止日期：</t>
  </si>
  <si>
    <t>报价日期：</t>
  </si>
  <si>
    <r>
      <t>图纸号</t>
    </r>
    <r>
      <rPr>
        <b/>
        <sz val="12"/>
        <rFont val="Arial"/>
        <family val="2"/>
        <charset val="0"/>
      </rPr>
      <t>:</t>
    </r>
  </si>
  <si>
    <r>
      <t>零件号</t>
    </r>
    <r>
      <rPr>
        <b/>
        <sz val="12"/>
        <rFont val="Arial"/>
        <family val="2"/>
        <charset val="0"/>
      </rPr>
      <t>:</t>
    </r>
  </si>
  <si>
    <r>
      <t>报价产量</t>
    </r>
    <r>
      <rPr>
        <b/>
        <sz val="12"/>
        <rFont val="Arial"/>
        <family val="2"/>
        <charset val="0"/>
      </rPr>
      <t>:</t>
    </r>
  </si>
  <si>
    <r>
      <t>零件名称</t>
    </r>
    <r>
      <rPr>
        <b/>
        <sz val="12"/>
        <rFont val="Arial"/>
        <family val="2"/>
        <charset val="0"/>
      </rPr>
      <t>:</t>
    </r>
  </si>
  <si>
    <t>冷却总成</t>
  </si>
  <si>
    <r>
      <t>模具寿命</t>
    </r>
    <r>
      <rPr>
        <b/>
        <sz val="12"/>
        <rFont val="Arial"/>
        <family val="2"/>
        <charset val="0"/>
      </rPr>
      <t>:</t>
    </r>
  </si>
  <si>
    <r>
      <t>供应商名称</t>
    </r>
    <r>
      <rPr>
        <b/>
        <sz val="12"/>
        <rFont val="Arial"/>
        <family val="2"/>
        <charset val="0"/>
      </rPr>
      <t>:</t>
    </r>
  </si>
  <si>
    <t>广西易德科技有限责任公司</t>
  </si>
  <si>
    <r>
      <t>日工作工时</t>
    </r>
    <r>
      <rPr>
        <b/>
        <sz val="12"/>
        <rFont val="Arial"/>
        <family val="2"/>
        <charset val="0"/>
      </rPr>
      <t>:</t>
    </r>
  </si>
  <si>
    <t>注册地址：</t>
  </si>
  <si>
    <t>广西柳州市</t>
  </si>
  <si>
    <r>
      <t>周工作日天数</t>
    </r>
    <r>
      <rPr>
        <b/>
        <sz val="12"/>
        <rFont val="Arial"/>
        <family val="2"/>
        <charset val="0"/>
      </rPr>
      <t>:</t>
    </r>
  </si>
  <si>
    <r>
      <t>工厂地址</t>
    </r>
    <r>
      <rPr>
        <b/>
        <sz val="12"/>
        <rFont val="Arial"/>
        <family val="2"/>
        <charset val="0"/>
      </rPr>
      <t>:</t>
    </r>
  </si>
  <si>
    <t>广西柳州市河西工业园欣悦路8号</t>
  </si>
  <si>
    <r>
      <t>当地货币</t>
    </r>
    <r>
      <rPr>
        <b/>
        <sz val="12"/>
        <rFont val="Arial"/>
        <family val="2"/>
        <charset val="0"/>
      </rPr>
      <t>:</t>
    </r>
  </si>
  <si>
    <t>供应商邓白氏号</t>
  </si>
  <si>
    <r>
      <t>汇率</t>
    </r>
    <r>
      <rPr>
        <b/>
        <sz val="12"/>
        <rFont val="Arial"/>
        <family val="2"/>
        <charset val="0"/>
      </rPr>
      <t>:</t>
    </r>
  </si>
  <si>
    <t>联系人：</t>
  </si>
  <si>
    <t>居和荣</t>
  </si>
  <si>
    <t>是否含有进口子零件</t>
  </si>
  <si>
    <t>联系电话：</t>
  </si>
  <si>
    <r>
      <t>制表人</t>
    </r>
    <r>
      <rPr>
        <b/>
        <sz val="12"/>
        <rFont val="Arial"/>
        <family val="2"/>
        <charset val="0"/>
      </rPr>
      <t>:</t>
    </r>
  </si>
  <si>
    <t>原材料及外购件成本</t>
  </si>
  <si>
    <r>
      <t>项目</t>
    </r>
    <r>
      <rPr>
        <b/>
        <sz val="12"/>
        <rFont val="Arial"/>
        <family val="2"/>
        <charset val="0"/>
      </rPr>
      <t>/</t>
    </r>
    <r>
      <rPr>
        <b/>
        <sz val="12"/>
        <rFont val="宋体"/>
        <charset val="134"/>
      </rPr>
      <t>描述</t>
    </r>
  </si>
  <si>
    <r>
      <t>采购件</t>
    </r>
    <r>
      <rPr>
        <b/>
        <sz val="12"/>
        <rFont val="Arial"/>
        <family val="2"/>
        <charset val="0"/>
      </rPr>
      <t xml:space="preserve">(P)
 </t>
    </r>
    <r>
      <rPr>
        <b/>
        <sz val="12"/>
        <rFont val="宋体"/>
        <charset val="134"/>
      </rPr>
      <t>自制件</t>
    </r>
    <r>
      <rPr>
        <b/>
        <sz val="12"/>
        <rFont val="Arial"/>
        <family val="2"/>
        <charset val="0"/>
      </rPr>
      <t>(M)</t>
    </r>
  </si>
  <si>
    <t>度量单位</t>
  </si>
  <si>
    <t>数量</t>
  </si>
  <si>
    <t>单位成本</t>
  </si>
  <si>
    <t>材料总成本</t>
  </si>
  <si>
    <t>原材料名称
外购件零件号</t>
  </si>
  <si>
    <t>供应商名称</t>
  </si>
  <si>
    <t>原材料及外购件供应商邓白氏号</t>
  </si>
  <si>
    <t>工装分摊
单件成本</t>
  </si>
  <si>
    <t>左集流管</t>
  </si>
  <si>
    <t>P</t>
  </si>
  <si>
    <t>KG</t>
  </si>
  <si>
    <t>右集流管</t>
  </si>
  <si>
    <t>扁管A</t>
  </si>
  <si>
    <t>扁管B</t>
  </si>
  <si>
    <t>进口管</t>
  </si>
  <si>
    <t>根</t>
  </si>
  <si>
    <t>出口管</t>
  </si>
  <si>
    <t>个</t>
  </si>
  <si>
    <t>12*1.2堵帽</t>
  </si>
  <si>
    <t>隔片</t>
  </si>
  <si>
    <t>安装支架</t>
  </si>
  <si>
    <t>接头</t>
  </si>
  <si>
    <t>连接支架</t>
  </si>
  <si>
    <t>保温棉</t>
  </si>
  <si>
    <t>条</t>
  </si>
  <si>
    <t>O型圈</t>
  </si>
  <si>
    <t>密封圈</t>
  </si>
  <si>
    <t>防尘盖</t>
  </si>
  <si>
    <t>总计</t>
  </si>
  <si>
    <t>自制件直接人工及制造费用</t>
  </si>
  <si>
    <r>
      <t>工序</t>
    </r>
    <r>
      <rPr>
        <b/>
        <sz val="12"/>
        <rFont val="Arial"/>
        <family val="2"/>
        <charset val="0"/>
      </rPr>
      <t>/</t>
    </r>
    <r>
      <rPr>
        <b/>
        <sz val="12"/>
        <rFont val="宋体"/>
        <charset val="134"/>
      </rPr>
      <t>描述</t>
    </r>
  </si>
  <si>
    <t>直接人工</t>
  </si>
  <si>
    <t>设备信息</t>
  </si>
  <si>
    <t>制造费用</t>
  </si>
  <si>
    <t>11</t>
  </si>
  <si>
    <t>17</t>
  </si>
  <si>
    <t>工序</t>
  </si>
  <si>
    <t>每小时</t>
  </si>
  <si>
    <t>标准</t>
  </si>
  <si>
    <t>操作工人数</t>
  </si>
  <si>
    <t>序号</t>
  </si>
  <si>
    <t>描述</t>
  </si>
  <si>
    <r>
      <t>人工费用</t>
    </r>
    <r>
      <rPr>
        <sz val="12"/>
        <rFont val="Arial"/>
        <family val="2"/>
        <charset val="0"/>
      </rPr>
      <t>(</t>
    </r>
    <r>
      <rPr>
        <sz val="12"/>
        <rFont val="宋体"/>
        <charset val="134"/>
      </rPr>
      <t>￥</t>
    </r>
    <r>
      <rPr>
        <sz val="12"/>
        <rFont val="Arial"/>
        <family val="2"/>
        <charset val="0"/>
      </rPr>
      <t>/H)</t>
    </r>
  </si>
  <si>
    <r>
      <t>工时</t>
    </r>
    <r>
      <rPr>
        <sz val="12"/>
        <rFont val="Arial"/>
        <family val="2"/>
        <charset val="0"/>
      </rPr>
      <t>(S)</t>
    </r>
  </si>
  <si>
    <t>每工序</t>
  </si>
  <si>
    <r>
      <t>成本</t>
    </r>
    <r>
      <rPr>
        <sz val="12"/>
        <rFont val="Arial"/>
        <family val="2"/>
        <charset val="0"/>
      </rPr>
      <t>(</t>
    </r>
    <r>
      <rPr>
        <sz val="12"/>
        <rFont val="宋体"/>
        <charset val="134"/>
      </rPr>
      <t>￥）</t>
    </r>
  </si>
  <si>
    <t>机器型号</t>
  </si>
  <si>
    <t>机器类别</t>
  </si>
  <si>
    <t>可变费用</t>
  </si>
  <si>
    <t>固定费用</t>
  </si>
  <si>
    <t>制造费用总值</t>
  </si>
  <si>
    <t>工艺1</t>
  </si>
  <si>
    <t>集流管打孔</t>
  </si>
  <si>
    <t>工艺2</t>
  </si>
  <si>
    <t>左集流管冲压</t>
  </si>
  <si>
    <t>工艺3</t>
  </si>
  <si>
    <t>右集流管冲压</t>
  </si>
  <si>
    <t>工艺4</t>
  </si>
  <si>
    <t>集流管开孔</t>
  </si>
  <si>
    <t>工艺5</t>
  </si>
  <si>
    <t>集流管开隔片槽</t>
  </si>
  <si>
    <t>工艺6</t>
  </si>
  <si>
    <t>零部件清洗烘干</t>
  </si>
  <si>
    <t>工艺7</t>
  </si>
  <si>
    <t>扁管折弯</t>
  </si>
  <si>
    <t>工艺8</t>
  </si>
  <si>
    <t>芯体组装</t>
  </si>
  <si>
    <t>工艺9</t>
  </si>
  <si>
    <t>产品钎焊</t>
  </si>
  <si>
    <t>1.2米钎焊炉+氮气</t>
  </si>
  <si>
    <t>500KW</t>
  </si>
  <si>
    <t>工艺10</t>
  </si>
  <si>
    <t>手工焊进出管、接头</t>
  </si>
  <si>
    <t>工艺11</t>
  </si>
  <si>
    <t>产品氦检</t>
  </si>
  <si>
    <t>氦检台+氮气+氦气</t>
  </si>
  <si>
    <t>工艺12</t>
  </si>
  <si>
    <t>产品打磨+整形</t>
  </si>
  <si>
    <t>工艺13</t>
  </si>
  <si>
    <t>成品检验</t>
  </si>
  <si>
    <t>工艺14</t>
  </si>
  <si>
    <t>包海绵</t>
  </si>
  <si>
    <t>工艺15</t>
  </si>
  <si>
    <t>包装入库</t>
  </si>
  <si>
    <r>
      <t>总直接人工成本</t>
    </r>
    <r>
      <rPr>
        <b/>
        <sz val="12"/>
        <rFont val="Arial"/>
        <family val="2"/>
        <charset val="0"/>
      </rPr>
      <t>:</t>
    </r>
  </si>
  <si>
    <r>
      <t>总制造费用</t>
    </r>
    <r>
      <rPr>
        <b/>
        <sz val="12"/>
        <rFont val="Arial"/>
        <family val="2"/>
        <charset val="0"/>
      </rPr>
      <t>:</t>
    </r>
  </si>
  <si>
    <r>
      <t>仅在中国境内使用的零件</t>
    </r>
    <r>
      <rPr>
        <b/>
        <sz val="12"/>
        <color indexed="10"/>
        <rFont val="Arial"/>
        <family val="2"/>
        <charset val="0"/>
      </rPr>
      <t>/</t>
    </r>
    <r>
      <rPr>
        <b/>
        <sz val="12"/>
        <color indexed="48"/>
        <rFont val="宋体"/>
        <charset val="134"/>
      </rPr>
      <t>仅在中国境内制造的零件</t>
    </r>
  </si>
  <si>
    <r>
      <t xml:space="preserve">总制造成本
</t>
    </r>
    <r>
      <rPr>
        <b/>
        <sz val="12"/>
        <rFont val="Arial"/>
        <family val="2"/>
        <charset val="0"/>
      </rPr>
      <t>(</t>
    </r>
    <r>
      <rPr>
        <b/>
        <sz val="12"/>
        <rFont val="宋体"/>
        <charset val="134"/>
      </rPr>
      <t>材料成本</t>
    </r>
    <r>
      <rPr>
        <b/>
        <sz val="12"/>
        <rFont val="Arial"/>
        <family val="2"/>
        <charset val="0"/>
      </rPr>
      <t xml:space="preserve"> + </t>
    </r>
    <r>
      <rPr>
        <b/>
        <sz val="12"/>
        <rFont val="宋体"/>
        <charset val="134"/>
      </rPr>
      <t>模具分摊成本</t>
    </r>
    <r>
      <rPr>
        <b/>
        <sz val="12"/>
        <rFont val="Arial"/>
        <family val="2"/>
        <charset val="0"/>
      </rPr>
      <t xml:space="preserve"> + </t>
    </r>
    <r>
      <rPr>
        <b/>
        <sz val="12"/>
        <rFont val="宋体"/>
        <charset val="134"/>
      </rPr>
      <t>直接人工</t>
    </r>
    <r>
      <rPr>
        <b/>
        <sz val="12"/>
        <rFont val="Arial"/>
        <family val="2"/>
        <charset val="0"/>
      </rPr>
      <t xml:space="preserve"> + </t>
    </r>
    <r>
      <rPr>
        <b/>
        <sz val="12"/>
        <rFont val="宋体"/>
        <charset val="134"/>
      </rPr>
      <t>总制造费用</t>
    </r>
    <r>
      <rPr>
        <b/>
        <sz val="12"/>
        <rFont val="Arial"/>
        <family val="2"/>
        <charset val="0"/>
      </rPr>
      <t>)</t>
    </r>
  </si>
  <si>
    <t>一般管理费用</t>
  </si>
  <si>
    <t>报废率3%</t>
  </si>
  <si>
    <t>利润</t>
  </si>
  <si>
    <t>出厂价</t>
  </si>
  <si>
    <t>物流成本</t>
  </si>
  <si>
    <t>销售价格（不含增值税）</t>
  </si>
  <si>
    <t>三方仓</t>
  </si>
  <si>
    <t>运费</t>
  </si>
  <si>
    <t>围板箱与海绵返回运费</t>
  </si>
  <si>
    <t>合计：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</si>
</sst>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_-* #,##0_-;\-* #,##0_-;_-* &quot;-&quot;_-;_-@_-"/>
    <numFmt numFmtId="178" formatCode="#,##0.00_);[Red]\(#,##0.00\)"/>
    <numFmt numFmtId="179" formatCode="0.00_ "/>
    <numFmt numFmtId="180" formatCode="0_);[Red]\(0\)"/>
    <numFmt numFmtId="181" formatCode="_(* #,##0_);_(* \(#,##0\);_(* &quot;-&quot;??_);_(@_)"/>
    <numFmt numFmtId="182" formatCode="#,##0.00_ "/>
    <numFmt numFmtId="183" formatCode="0.0000"/>
    <numFmt numFmtId="184" formatCode="0.00;[Red]0.00"/>
    <numFmt numFmtId="185" formatCode="0.0_ "/>
    <numFmt numFmtId="186" formatCode="_ * #,##0_ ;_ * \-#,##0_ ;_ * &quot;-&quot;??_ ;_ @_ "/>
  </numFmts>
  <fonts count="43">
    <font>
      <sz val="12"/>
      <name val="宋体"/>
      <charset val="134"/>
    </font>
    <font>
      <sz val="12"/>
      <name val="Arial"/>
      <family val="2"/>
      <charset val="0"/>
    </font>
    <font>
      <b/>
      <sz val="12"/>
      <name val="Arial"/>
      <family val="2"/>
      <charset val="0"/>
    </font>
    <font>
      <b/>
      <sz val="16"/>
      <name val="宋体"/>
      <charset val="134"/>
    </font>
    <font>
      <b/>
      <sz val="16"/>
      <name val="Arial"/>
      <family val="2"/>
      <charset val="0"/>
    </font>
    <font>
      <b/>
      <sz val="20"/>
      <name val="Arial"/>
      <family val="2"/>
      <charset val="0"/>
    </font>
    <font>
      <b/>
      <sz val="12"/>
      <name val="宋体"/>
      <charset val="134"/>
    </font>
    <font>
      <b/>
      <sz val="14"/>
      <name val="Arial"/>
      <family val="2"/>
      <charset val="0"/>
    </font>
    <font>
      <sz val="10"/>
      <name val="Arial"/>
      <family val="2"/>
      <charset val="0"/>
    </font>
    <font>
      <sz val="8"/>
      <name val="Arial"/>
      <family val="2"/>
      <charset val="0"/>
    </font>
    <font>
      <b/>
      <u/>
      <sz val="12"/>
      <color indexed="10"/>
      <name val="宋体"/>
      <charset val="134"/>
    </font>
    <font>
      <b/>
      <u/>
      <sz val="12"/>
      <color indexed="10"/>
      <name val="Arial"/>
      <family val="2"/>
      <charset val="0"/>
    </font>
    <font>
      <sz val="11"/>
      <name val="SimSun"/>
      <charset val="134"/>
    </font>
    <font>
      <sz val="10"/>
      <name val="宋体"/>
      <charset val="134"/>
    </font>
    <font>
      <sz val="11"/>
      <color indexed="8"/>
      <name val="宋体"/>
      <charset val="134"/>
    </font>
    <font>
      <sz val="11"/>
      <name val="宋体"/>
      <charset val="134"/>
    </font>
    <font>
      <b/>
      <sz val="12"/>
      <color indexed="10"/>
      <name val="Arial"/>
      <family val="2"/>
      <charset val="0"/>
    </font>
    <font>
      <sz val="11"/>
      <name val="굴림체"/>
      <charset val="134"/>
    </font>
    <font>
      <sz val="12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Times New Roman"/>
      <family val="1"/>
      <charset val="0"/>
    </font>
    <font>
      <sz val="12"/>
      <name val="바탕체"/>
      <charset val="134"/>
    </font>
    <font>
      <sz val="11"/>
      <name val="돋움"/>
      <charset val="134"/>
    </font>
    <font>
      <b/>
      <sz val="12"/>
      <color indexed="48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3" fontId="19" fillId="0" borderId="0" applyFont="0" applyFill="0" applyBorder="0" applyAlignment="0" applyProtection="0">
      <alignment vertical="center"/>
    </xf>
    <xf numFmtId="44" fontId="19" fillId="0" borderId="0" applyFont="0" applyFill="0" applyBorder="0" applyAlignment="0" applyProtection="0">
      <alignment vertical="center"/>
    </xf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7" borderId="47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48" applyNumberFormat="0" applyFill="0" applyAlignment="0" applyProtection="0">
      <alignment vertical="center"/>
    </xf>
    <xf numFmtId="0" fontId="26" fillId="0" borderId="48" applyNumberFormat="0" applyFill="0" applyAlignment="0" applyProtection="0">
      <alignment vertical="center"/>
    </xf>
    <xf numFmtId="0" fontId="27" fillId="0" borderId="49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8" borderId="50" applyNumberFormat="0" applyAlignment="0" applyProtection="0">
      <alignment vertical="center"/>
    </xf>
    <xf numFmtId="0" fontId="29" fillId="9" borderId="51" applyNumberFormat="0" applyAlignment="0" applyProtection="0">
      <alignment vertical="center"/>
    </xf>
    <xf numFmtId="0" fontId="30" fillId="9" borderId="50" applyNumberFormat="0" applyAlignment="0" applyProtection="0">
      <alignment vertical="center"/>
    </xf>
    <xf numFmtId="0" fontId="31" fillId="10" borderId="52" applyNumberFormat="0" applyAlignment="0" applyProtection="0">
      <alignment vertical="center"/>
    </xf>
    <xf numFmtId="0" fontId="32" fillId="0" borderId="53" applyNumberFormat="0" applyFill="0" applyAlignment="0" applyProtection="0">
      <alignment vertical="center"/>
    </xf>
    <xf numFmtId="0" fontId="33" fillId="0" borderId="54" applyNumberFormat="0" applyFill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7" fillId="37" borderId="0" applyNumberFormat="0" applyBorder="0" applyAlignment="0" applyProtection="0">
      <alignment vertical="center"/>
    </xf>
    <xf numFmtId="0" fontId="8" fillId="0" borderId="0"/>
    <xf numFmtId="0" fontId="39" fillId="0" borderId="0"/>
    <xf numFmtId="0" fontId="40" fillId="0" borderId="0"/>
    <xf numFmtId="176" fontId="0" fillId="0" borderId="0" applyFont="0" applyFill="0" applyBorder="0" applyAlignment="0" applyProtection="0"/>
    <xf numFmtId="177" fontId="41" fillId="0" borderId="0" applyFont="0" applyFill="0" applyBorder="0" applyAlignment="0" applyProtection="0"/>
  </cellStyleXfs>
  <cellXfs count="20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50" applyFont="1"/>
    <xf numFmtId="0" fontId="1" fillId="0" borderId="0" xfId="0" applyFont="1" applyAlignment="1">
      <alignment vertical="center"/>
    </xf>
    <xf numFmtId="0" fontId="2" fillId="0" borderId="0" xfId="0" applyFont="1">
      <alignment vertical="center"/>
    </xf>
    <xf numFmtId="0" fontId="1" fillId="0" borderId="0" xfId="50" applyFont="1" applyFill="1"/>
    <xf numFmtId="0" fontId="1" fillId="0" borderId="0" xfId="49" applyFont="1" applyProtection="1">
      <protection locked="0"/>
    </xf>
    <xf numFmtId="0" fontId="2" fillId="0" borderId="0" xfId="49" applyFont="1" applyProtection="1">
      <protection locked="0"/>
    </xf>
    <xf numFmtId="0" fontId="2" fillId="0" borderId="0" xfId="49" applyFont="1" applyAlignment="1" applyProtection="1">
      <alignment horizontal="center"/>
      <protection locked="0"/>
    </xf>
    <xf numFmtId="49" fontId="1" fillId="0" borderId="0" xfId="49" applyNumberFormat="1" applyFont="1" applyProtection="1">
      <protection locked="0"/>
    </xf>
    <xf numFmtId="49" fontId="2" fillId="0" borderId="0" xfId="49" applyNumberFormat="1" applyFont="1" applyProtection="1">
      <protection locked="0"/>
    </xf>
    <xf numFmtId="0" fontId="2" fillId="0" borderId="0" xfId="49" applyFont="1" applyAlignment="1" applyProtection="1">
      <alignment horizontal="center" wrapText="1"/>
      <protection locked="0"/>
    </xf>
    <xf numFmtId="0" fontId="1" fillId="0" borderId="0" xfId="50" applyFont="1"/>
    <xf numFmtId="0" fontId="3" fillId="2" borderId="0" xfId="49" applyFont="1" applyFill="1" applyAlignment="1" applyProtection="1">
      <alignment horizontal="center" vertical="center" wrapText="1"/>
      <protection locked="0"/>
    </xf>
    <xf numFmtId="0" fontId="4" fillId="2" borderId="0" xfId="49" applyFont="1" applyFill="1" applyAlignment="1" applyProtection="1">
      <alignment horizontal="center" vertical="center" wrapText="1"/>
      <protection locked="0"/>
    </xf>
    <xf numFmtId="0" fontId="2" fillId="2" borderId="0" xfId="50" applyFont="1" applyFill="1"/>
    <xf numFmtId="0" fontId="5" fillId="2" borderId="0" xfId="49" applyFont="1" applyFill="1" applyAlignment="1" applyProtection="1">
      <alignment vertical="center" wrapText="1"/>
      <protection locked="0"/>
    </xf>
    <xf numFmtId="0" fontId="6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6" fillId="2" borderId="0" xfId="0" applyFont="1" applyFill="1">
      <alignment vertical="center"/>
    </xf>
    <xf numFmtId="0" fontId="2" fillId="3" borderId="3" xfId="0" applyFont="1" applyFill="1" applyBorder="1">
      <alignment vertical="center"/>
    </xf>
    <xf numFmtId="0" fontId="2" fillId="3" borderId="3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8" fillId="2" borderId="4" xfId="50" applyFont="1" applyFill="1" applyBorder="1"/>
    <xf numFmtId="0" fontId="1" fillId="2" borderId="0" xfId="50" applyFont="1" applyFill="1"/>
    <xf numFmtId="0" fontId="9" fillId="2" borderId="0" xfId="49" applyFont="1" applyFill="1" applyProtection="1">
      <protection locked="0"/>
    </xf>
    <xf numFmtId="0" fontId="8" fillId="2" borderId="0" xfId="49" applyFont="1" applyFill="1" applyProtection="1">
      <protection locked="0"/>
    </xf>
    <xf numFmtId="0" fontId="6" fillId="4" borderId="5" xfId="49" applyFont="1" applyFill="1" applyBorder="1" applyAlignment="1" applyProtection="1">
      <alignment horizontal="right"/>
      <protection locked="0"/>
    </xf>
    <xf numFmtId="0" fontId="2" fillId="4" borderId="6" xfId="49" applyFont="1" applyFill="1" applyBorder="1" applyAlignment="1" applyProtection="1">
      <alignment horizontal="right"/>
      <protection locked="0"/>
    </xf>
    <xf numFmtId="14" fontId="1" fillId="0" borderId="7" xfId="49" applyNumberFormat="1" applyFont="1" applyBorder="1" applyAlignment="1" applyProtection="1">
      <alignment horizontal="center"/>
      <protection locked="0"/>
    </xf>
    <xf numFmtId="14" fontId="1" fillId="0" borderId="8" xfId="49" applyNumberFormat="1" applyFont="1" applyBorder="1" applyAlignment="1" applyProtection="1">
      <alignment horizontal="center"/>
      <protection locked="0"/>
    </xf>
    <xf numFmtId="14" fontId="1" fillId="0" borderId="9" xfId="49" applyNumberFormat="1" applyFont="1" applyBorder="1" applyAlignment="1" applyProtection="1">
      <alignment horizontal="center"/>
      <protection locked="0"/>
    </xf>
    <xf numFmtId="0" fontId="6" fillId="4" borderId="6" xfId="49" applyFont="1" applyFill="1" applyBorder="1" applyAlignment="1" applyProtection="1">
      <alignment horizontal="right"/>
      <protection locked="0"/>
    </xf>
    <xf numFmtId="0" fontId="1" fillId="0" borderId="6" xfId="49" applyFont="1" applyBorder="1" applyAlignment="1" applyProtection="1">
      <alignment horizontal="center"/>
      <protection locked="0"/>
    </xf>
    <xf numFmtId="0" fontId="6" fillId="4" borderId="10" xfId="49" applyFont="1" applyFill="1" applyBorder="1" applyAlignment="1" applyProtection="1">
      <alignment horizontal="right"/>
      <protection locked="0"/>
    </xf>
    <xf numFmtId="0" fontId="2" fillId="4" borderId="11" xfId="49" applyFont="1" applyFill="1" applyBorder="1" applyAlignment="1" applyProtection="1">
      <alignment horizontal="right"/>
      <protection locked="0"/>
    </xf>
    <xf numFmtId="0" fontId="1" fillId="0" borderId="12" xfId="49" applyNumberFormat="1" applyFont="1" applyBorder="1" applyAlignment="1" applyProtection="1">
      <alignment horizontal="center"/>
      <protection locked="0"/>
    </xf>
    <xf numFmtId="0" fontId="1" fillId="0" borderId="13" xfId="49" applyNumberFormat="1" applyFont="1" applyBorder="1" applyAlignment="1" applyProtection="1">
      <alignment horizontal="center"/>
      <protection locked="0"/>
    </xf>
    <xf numFmtId="0" fontId="1" fillId="0" borderId="14" xfId="49" applyNumberFormat="1" applyFont="1" applyBorder="1" applyAlignment="1" applyProtection="1">
      <alignment horizontal="center"/>
      <protection locked="0"/>
    </xf>
    <xf numFmtId="0" fontId="6" fillId="4" borderId="11" xfId="49" applyFont="1" applyFill="1" applyBorder="1" applyAlignment="1" applyProtection="1">
      <alignment horizontal="right"/>
      <protection locked="0"/>
    </xf>
    <xf numFmtId="0" fontId="1" fillId="0" borderId="11" xfId="49" applyFont="1" applyBorder="1" applyAlignment="1" applyProtection="1">
      <alignment horizontal="center"/>
      <protection locked="0"/>
    </xf>
    <xf numFmtId="14" fontId="0" fillId="0" borderId="12" xfId="49" applyNumberFormat="1" applyFont="1" applyBorder="1" applyAlignment="1" applyProtection="1">
      <alignment horizontal="center"/>
      <protection locked="0"/>
    </xf>
    <xf numFmtId="14" fontId="1" fillId="0" borderId="13" xfId="49" applyNumberFormat="1" applyFont="1" applyBorder="1" applyAlignment="1" applyProtection="1">
      <alignment horizontal="center"/>
      <protection locked="0"/>
    </xf>
    <xf numFmtId="14" fontId="1" fillId="0" borderId="14" xfId="49" applyNumberFormat="1" applyFont="1" applyBorder="1" applyAlignment="1" applyProtection="1">
      <alignment horizontal="center"/>
      <protection locked="0"/>
    </xf>
    <xf numFmtId="14" fontId="1" fillId="0" borderId="12" xfId="49" applyNumberFormat="1" applyFont="1" applyBorder="1" applyAlignment="1" applyProtection="1">
      <alignment horizontal="center"/>
      <protection locked="0"/>
    </xf>
    <xf numFmtId="14" fontId="0" fillId="5" borderId="12" xfId="49" applyNumberFormat="1" applyFont="1" applyFill="1" applyBorder="1" applyAlignment="1" applyProtection="1">
      <alignment horizontal="center"/>
      <protection locked="0"/>
    </xf>
    <xf numFmtId="14" fontId="1" fillId="5" borderId="13" xfId="49" applyNumberFormat="1" applyFont="1" applyFill="1" applyBorder="1" applyAlignment="1" applyProtection="1">
      <alignment horizontal="center"/>
      <protection locked="0"/>
    </xf>
    <xf numFmtId="14" fontId="1" fillId="5" borderId="14" xfId="49" applyNumberFormat="1" applyFont="1" applyFill="1" applyBorder="1" applyAlignment="1" applyProtection="1">
      <alignment horizontal="center"/>
      <protection locked="0"/>
    </xf>
    <xf numFmtId="0" fontId="6" fillId="4" borderId="11" xfId="49" applyFont="1" applyFill="1" applyBorder="1" applyAlignment="1" applyProtection="1">
      <alignment horizontal="right" vertical="center" wrapText="1"/>
      <protection locked="0"/>
    </xf>
    <xf numFmtId="0" fontId="1" fillId="5" borderId="12" xfId="49" applyNumberFormat="1" applyFont="1" applyFill="1" applyBorder="1" applyAlignment="1" applyProtection="1">
      <alignment horizontal="center"/>
      <protection locked="0"/>
    </xf>
    <xf numFmtId="0" fontId="1" fillId="5" borderId="13" xfId="49" applyNumberFormat="1" applyFont="1" applyFill="1" applyBorder="1" applyAlignment="1" applyProtection="1">
      <alignment horizontal="center"/>
      <protection locked="0"/>
    </xf>
    <xf numFmtId="0" fontId="1" fillId="5" borderId="14" xfId="49" applyNumberFormat="1" applyFont="1" applyFill="1" applyBorder="1" applyAlignment="1" applyProtection="1">
      <alignment horizontal="center"/>
      <protection locked="0"/>
    </xf>
    <xf numFmtId="0" fontId="2" fillId="4" borderId="11" xfId="49" applyFont="1" applyFill="1" applyBorder="1" applyAlignment="1" applyProtection="1">
      <alignment horizontal="right" vertical="center" wrapText="1"/>
      <protection locked="0"/>
    </xf>
    <xf numFmtId="0" fontId="6" fillId="4" borderId="15" xfId="49" applyFont="1" applyFill="1" applyBorder="1" applyAlignment="1" applyProtection="1">
      <alignment horizontal="right"/>
      <protection locked="0"/>
    </xf>
    <xf numFmtId="0" fontId="2" fillId="4" borderId="16" xfId="49" applyFont="1" applyFill="1" applyBorder="1" applyAlignment="1" applyProtection="1">
      <alignment horizontal="right"/>
      <protection locked="0"/>
    </xf>
    <xf numFmtId="14" fontId="1" fillId="5" borderId="17" xfId="49" applyNumberFormat="1" applyFont="1" applyFill="1" applyBorder="1" applyAlignment="1" applyProtection="1">
      <alignment horizontal="center"/>
      <protection locked="0"/>
    </xf>
    <xf numFmtId="14" fontId="1" fillId="5" borderId="18" xfId="49" applyNumberFormat="1" applyFont="1" applyFill="1" applyBorder="1" applyAlignment="1" applyProtection="1">
      <alignment horizontal="center"/>
      <protection locked="0"/>
    </xf>
    <xf numFmtId="14" fontId="1" fillId="5" borderId="19" xfId="49" applyNumberFormat="1" applyFont="1" applyFill="1" applyBorder="1" applyAlignment="1" applyProtection="1">
      <alignment horizontal="center"/>
      <protection locked="0"/>
    </xf>
    <xf numFmtId="0" fontId="1" fillId="4" borderId="16" xfId="49" applyFont="1" applyFill="1" applyBorder="1" applyAlignment="1" applyProtection="1">
      <alignment horizontal="right"/>
      <protection locked="0"/>
    </xf>
    <xf numFmtId="0" fontId="1" fillId="0" borderId="16" xfId="49" applyFont="1" applyBorder="1" applyAlignment="1" applyProtection="1">
      <alignment horizontal="center"/>
      <protection locked="0"/>
    </xf>
    <xf numFmtId="0" fontId="2" fillId="2" borderId="0" xfId="49" applyFont="1" applyFill="1" applyBorder="1" applyAlignment="1" applyProtection="1">
      <alignment vertical="center"/>
      <protection locked="0"/>
    </xf>
    <xf numFmtId="0" fontId="1" fillId="2" borderId="0" xfId="49" applyFont="1" applyFill="1" applyBorder="1" applyAlignment="1" applyProtection="1">
      <protection locked="0"/>
    </xf>
    <xf numFmtId="0" fontId="1" fillId="2" borderId="0" xfId="49" applyFont="1" applyFill="1" applyBorder="1" applyAlignment="1" applyProtection="1">
      <alignment horizontal="centerContinuous" vertical="center"/>
      <protection locked="0"/>
    </xf>
    <xf numFmtId="0" fontId="1" fillId="2" borderId="0" xfId="49" applyFont="1" applyFill="1" applyBorder="1" applyProtection="1">
      <protection locked="0"/>
    </xf>
    <xf numFmtId="0" fontId="10" fillId="2" borderId="0" xfId="49" applyFont="1" applyFill="1" applyBorder="1" applyAlignment="1" applyProtection="1">
      <alignment horizontal="center"/>
      <protection locked="0"/>
    </xf>
    <xf numFmtId="0" fontId="11" fillId="2" borderId="0" xfId="49" applyFont="1" applyFill="1" applyBorder="1" applyAlignment="1" applyProtection="1">
      <alignment horizontal="center"/>
      <protection locked="0"/>
    </xf>
    <xf numFmtId="0" fontId="1" fillId="2" borderId="0" xfId="49" applyFont="1" applyFill="1" applyProtection="1">
      <protection locked="0"/>
    </xf>
    <xf numFmtId="0" fontId="2" fillId="4" borderId="5" xfId="49" applyFont="1" applyFill="1" applyBorder="1" applyAlignment="1" applyProtection="1">
      <alignment horizontal="center"/>
      <protection locked="0"/>
    </xf>
    <xf numFmtId="0" fontId="2" fillId="4" borderId="6" xfId="49" applyFont="1" applyFill="1" applyBorder="1" applyAlignment="1" applyProtection="1">
      <alignment horizontal="center"/>
      <protection locked="0"/>
    </xf>
    <xf numFmtId="0" fontId="2" fillId="4" borderId="20" xfId="49" applyFont="1" applyFill="1" applyBorder="1" applyAlignment="1" applyProtection="1">
      <alignment horizontal="center"/>
      <protection locked="0"/>
    </xf>
    <xf numFmtId="0" fontId="2" fillId="4" borderId="9" xfId="49" applyFont="1" applyFill="1" applyBorder="1" applyAlignment="1" applyProtection="1">
      <alignment horizontal="center"/>
      <protection locked="0"/>
    </xf>
    <xf numFmtId="0" fontId="6" fillId="4" borderId="21" xfId="49" applyFont="1" applyFill="1" applyBorder="1" applyAlignment="1" applyProtection="1">
      <alignment horizontal="center" vertical="center"/>
      <protection locked="0"/>
    </xf>
    <xf numFmtId="0" fontId="2" fillId="4" borderId="19" xfId="49" applyFont="1" applyFill="1" applyBorder="1" applyAlignment="1" applyProtection="1">
      <alignment horizontal="center" vertical="center"/>
      <protection locked="0"/>
    </xf>
    <xf numFmtId="0" fontId="6" fillId="4" borderId="16" xfId="49" applyFont="1" applyFill="1" applyBorder="1" applyAlignment="1" applyProtection="1">
      <alignment horizontal="center" vertical="center" wrapText="1"/>
      <protection locked="0"/>
    </xf>
    <xf numFmtId="0" fontId="6" fillId="4" borderId="16" xfId="49" applyFont="1" applyFill="1" applyBorder="1" applyAlignment="1" applyProtection="1">
      <alignment horizontal="center" vertical="center"/>
      <protection locked="0"/>
    </xf>
    <xf numFmtId="0" fontId="6" fillId="4" borderId="22" xfId="49" applyFont="1" applyFill="1" applyBorder="1" applyAlignment="1" applyProtection="1">
      <alignment horizontal="center" vertical="center"/>
      <protection locked="0"/>
    </xf>
    <xf numFmtId="0" fontId="6" fillId="4" borderId="19" xfId="49" applyFont="1" applyFill="1" applyBorder="1" applyAlignment="1" applyProtection="1">
      <alignment horizontal="center" vertical="center" wrapText="1"/>
      <protection locked="0"/>
    </xf>
    <xf numFmtId="3" fontId="12" fillId="5" borderId="11" xfId="51" applyNumberFormat="1" applyFont="1" applyFill="1" applyBorder="1" applyAlignment="1">
      <alignment horizontal="center" vertical="center"/>
    </xf>
    <xf numFmtId="0" fontId="0" fillId="5" borderId="23" xfId="49" applyFont="1" applyFill="1" applyBorder="1" applyAlignment="1" applyProtection="1">
      <alignment horizontal="left"/>
      <protection locked="0"/>
    </xf>
    <xf numFmtId="0" fontId="1" fillId="0" borderId="23" xfId="49" applyFont="1" applyBorder="1" applyAlignment="1" applyProtection="1">
      <alignment horizontal="center"/>
      <protection locked="0"/>
    </xf>
    <xf numFmtId="0" fontId="0" fillId="0" borderId="23" xfId="49" applyFont="1" applyBorder="1" applyAlignment="1" applyProtection="1">
      <alignment horizontal="center"/>
      <protection locked="0"/>
    </xf>
    <xf numFmtId="0" fontId="13" fillId="5" borderId="11" xfId="0" applyFont="1" applyFill="1" applyBorder="1" applyAlignment="1">
      <alignment horizontal="center" vertical="center"/>
    </xf>
    <xf numFmtId="0" fontId="0" fillId="0" borderId="23" xfId="49" applyFont="1" applyBorder="1" applyProtection="1">
      <protection locked="0"/>
    </xf>
    <xf numFmtId="178" fontId="1" fillId="0" borderId="24" xfId="49" applyNumberFormat="1" applyFont="1" applyBorder="1" applyAlignment="1" applyProtection="1">
      <alignment horizontal="center"/>
    </xf>
    <xf numFmtId="0" fontId="0" fillId="0" borderId="23" xfId="49" applyFont="1" applyFill="1" applyBorder="1" applyProtection="1">
      <protection locked="0"/>
    </xf>
    <xf numFmtId="0" fontId="14" fillId="6" borderId="11" xfId="0" applyFont="1" applyFill="1" applyBorder="1" applyAlignment="1">
      <alignment horizontal="center" vertical="center"/>
    </xf>
    <xf numFmtId="0" fontId="1" fillId="0" borderId="23" xfId="49" applyFont="1" applyFill="1" applyBorder="1" applyProtection="1">
      <protection locked="0"/>
    </xf>
    <xf numFmtId="0" fontId="1" fillId="0" borderId="23" xfId="49" applyFont="1" applyBorder="1" applyProtection="1">
      <protection locked="0"/>
    </xf>
    <xf numFmtId="0" fontId="15" fillId="5" borderId="11" xfId="0" applyFont="1" applyFill="1" applyBorder="1" applyAlignment="1">
      <alignment horizontal="center" vertical="center"/>
    </xf>
    <xf numFmtId="0" fontId="15" fillId="5" borderId="25" xfId="0" applyFont="1" applyFill="1" applyBorder="1" applyAlignment="1">
      <alignment horizontal="center" vertical="center"/>
    </xf>
    <xf numFmtId="0" fontId="0" fillId="5" borderId="26" xfId="49" applyFont="1" applyFill="1" applyBorder="1" applyAlignment="1" applyProtection="1">
      <alignment horizontal="left"/>
      <protection locked="0"/>
    </xf>
    <xf numFmtId="0" fontId="1" fillId="0" borderId="26" xfId="49" applyFont="1" applyBorder="1" applyAlignment="1" applyProtection="1">
      <alignment horizontal="center"/>
      <protection locked="0"/>
    </xf>
    <xf numFmtId="0" fontId="0" fillId="0" borderId="26" xfId="49" applyFont="1" applyBorder="1" applyAlignment="1" applyProtection="1">
      <alignment horizontal="center"/>
      <protection locked="0"/>
    </xf>
    <xf numFmtId="0" fontId="13" fillId="5" borderId="26" xfId="0" applyFont="1" applyFill="1" applyBorder="1" applyAlignment="1">
      <alignment horizontal="center" vertical="center"/>
    </xf>
    <xf numFmtId="0" fontId="1" fillId="0" borderId="26" xfId="49" applyFont="1" applyBorder="1" applyProtection="1">
      <protection locked="0"/>
    </xf>
    <xf numFmtId="178" fontId="1" fillId="0" borderId="27" xfId="49" applyNumberFormat="1" applyFont="1" applyBorder="1" applyAlignment="1" applyProtection="1">
      <alignment horizontal="center"/>
    </xf>
    <xf numFmtId="179" fontId="0" fillId="0" borderId="25" xfId="49" applyNumberFormat="1" applyFont="1" applyFill="1" applyBorder="1" applyProtection="1">
      <protection locked="0"/>
    </xf>
    <xf numFmtId="0" fontId="6" fillId="4" borderId="28" xfId="49" applyFont="1" applyFill="1" applyBorder="1" applyAlignment="1" applyProtection="1">
      <alignment horizontal="center"/>
      <protection locked="0"/>
    </xf>
    <xf numFmtId="0" fontId="2" fillId="4" borderId="29" xfId="49" applyFont="1" applyFill="1" applyBorder="1" applyAlignment="1" applyProtection="1">
      <alignment horizontal="center"/>
      <protection locked="0"/>
    </xf>
    <xf numFmtId="176" fontId="16" fillId="4" borderId="30" xfId="52" applyFont="1" applyFill="1" applyBorder="1" applyAlignment="1" applyProtection="1">
      <alignment horizontal="right"/>
    </xf>
    <xf numFmtId="0" fontId="2" fillId="4" borderId="31" xfId="49" applyFont="1" applyFill="1" applyBorder="1" applyAlignment="1" applyProtection="1">
      <alignment horizontal="center"/>
      <protection locked="0"/>
    </xf>
    <xf numFmtId="0" fontId="10" fillId="2" borderId="4" xfId="49" applyFont="1" applyFill="1" applyBorder="1" applyAlignment="1" applyProtection="1">
      <alignment horizontal="center" vertical="center"/>
      <protection locked="0"/>
    </xf>
    <xf numFmtId="0" fontId="11" fillId="2" borderId="4" xfId="49" applyFont="1" applyFill="1" applyBorder="1" applyAlignment="1" applyProtection="1">
      <alignment horizontal="center" vertical="center"/>
      <protection locked="0"/>
    </xf>
    <xf numFmtId="49" fontId="6" fillId="4" borderId="5" xfId="49" applyNumberFormat="1" applyFont="1" applyFill="1" applyBorder="1" applyAlignment="1" applyProtection="1">
      <alignment horizontal="center"/>
      <protection locked="0"/>
    </xf>
    <xf numFmtId="49" fontId="2" fillId="4" borderId="6" xfId="49" applyNumberFormat="1" applyFont="1" applyFill="1" applyBorder="1" applyAlignment="1" applyProtection="1">
      <alignment horizontal="center"/>
      <protection locked="0"/>
    </xf>
    <xf numFmtId="0" fontId="6" fillId="4" borderId="6" xfId="49" applyFont="1" applyFill="1" applyBorder="1" applyAlignment="1" applyProtection="1">
      <alignment horizontal="center" vertical="center"/>
      <protection locked="0"/>
    </xf>
    <xf numFmtId="0" fontId="2" fillId="4" borderId="6" xfId="49" applyFont="1" applyFill="1" applyBorder="1" applyAlignment="1" applyProtection="1">
      <alignment horizontal="center" vertical="center"/>
      <protection locked="0"/>
    </xf>
    <xf numFmtId="0" fontId="2" fillId="4" borderId="20" xfId="49" applyFont="1" applyFill="1" applyBorder="1" applyAlignment="1" applyProtection="1">
      <alignment horizontal="center" vertical="center"/>
      <protection locked="0"/>
    </xf>
    <xf numFmtId="0" fontId="6" fillId="4" borderId="9" xfId="49" applyFont="1" applyFill="1" applyBorder="1" applyAlignment="1" applyProtection="1">
      <alignment horizontal="centerContinuous" vertical="center"/>
      <protection locked="0"/>
    </xf>
    <xf numFmtId="49" fontId="1" fillId="4" borderId="6" xfId="49" applyNumberFormat="1" applyFont="1" applyFill="1" applyBorder="1" applyAlignment="1" applyProtection="1">
      <alignment horizontal="centerContinuous" vertical="center"/>
      <protection locked="0"/>
    </xf>
    <xf numFmtId="49" fontId="2" fillId="4" borderId="10" xfId="49" applyNumberFormat="1" applyFont="1" applyFill="1" applyBorder="1" applyAlignment="1" applyProtection="1">
      <alignment horizontal="center"/>
      <protection locked="0"/>
    </xf>
    <xf numFmtId="49" fontId="2" fillId="4" borderId="11" xfId="49" applyNumberFormat="1" applyFont="1" applyFill="1" applyBorder="1" applyAlignment="1" applyProtection="1">
      <alignment horizontal="center"/>
      <protection locked="0"/>
    </xf>
    <xf numFmtId="0" fontId="2" fillId="4" borderId="11" xfId="49" applyFont="1" applyFill="1" applyBorder="1" applyAlignment="1" applyProtection="1">
      <alignment horizontal="center" vertical="center"/>
      <protection locked="0"/>
    </xf>
    <xf numFmtId="0" fontId="2" fillId="4" borderId="32" xfId="49" applyFont="1" applyFill="1" applyBorder="1" applyAlignment="1" applyProtection="1">
      <alignment horizontal="center" vertical="center"/>
      <protection locked="0"/>
    </xf>
    <xf numFmtId="0" fontId="2" fillId="4" borderId="14" xfId="49" applyFont="1" applyFill="1" applyBorder="1" applyAlignment="1" applyProtection="1">
      <alignment horizontal="centerContinuous" vertical="center"/>
      <protection locked="0"/>
    </xf>
    <xf numFmtId="49" fontId="2" fillId="4" borderId="11" xfId="49" applyNumberFormat="1" applyFont="1" applyFill="1" applyBorder="1" applyAlignment="1" applyProtection="1">
      <alignment horizontal="centerContinuous" vertical="center"/>
      <protection locked="0"/>
    </xf>
    <xf numFmtId="0" fontId="6" fillId="0" borderId="11" xfId="49" applyFont="1" applyBorder="1" applyAlignment="1" applyProtection="1">
      <alignment horizontal="center" vertical="center"/>
      <protection locked="0"/>
    </xf>
    <xf numFmtId="0" fontId="2" fillId="0" borderId="11" xfId="49" applyFont="1" applyBorder="1" applyAlignment="1" applyProtection="1">
      <alignment horizontal="center" vertical="center"/>
      <protection locked="0"/>
    </xf>
    <xf numFmtId="0" fontId="0" fillId="0" borderId="11" xfId="49" applyFont="1" applyBorder="1" applyAlignment="1" applyProtection="1">
      <alignment horizontal="center" vertical="center"/>
      <protection locked="0"/>
    </xf>
    <xf numFmtId="0" fontId="0" fillId="0" borderId="23" xfId="49" applyFont="1" applyBorder="1" applyAlignment="1" applyProtection="1">
      <alignment vertical="center"/>
      <protection locked="0"/>
    </xf>
    <xf numFmtId="0" fontId="0" fillId="0" borderId="23" xfId="49" applyFont="1" applyBorder="1" applyAlignment="1" applyProtection="1">
      <alignment horizontal="center" vertical="center"/>
      <protection locked="0"/>
    </xf>
    <xf numFmtId="4" fontId="17" fillId="0" borderId="11" xfId="53" applyNumberFormat="1" applyFont="1" applyFill="1" applyBorder="1" applyAlignment="1" applyProtection="1">
      <alignment horizontal="center" vertical="center"/>
    </xf>
    <xf numFmtId="0" fontId="6" fillId="0" borderId="33" xfId="49" applyFont="1" applyBorder="1" applyAlignment="1" applyProtection="1">
      <alignment horizontal="center" vertical="center"/>
      <protection locked="0"/>
    </xf>
    <xf numFmtId="0" fontId="6" fillId="0" borderId="23" xfId="49" applyFont="1" applyBorder="1" applyAlignment="1" applyProtection="1">
      <alignment horizontal="center" vertical="center"/>
      <protection locked="0"/>
    </xf>
    <xf numFmtId="180" fontId="1" fillId="0" borderId="23" xfId="52" applyNumberFormat="1" applyFont="1" applyBorder="1" applyAlignment="1" applyProtection="1">
      <alignment horizontal="center"/>
      <protection locked="0"/>
    </xf>
    <xf numFmtId="180" fontId="1" fillId="0" borderId="23" xfId="49" applyNumberFormat="1" applyFont="1" applyBorder="1" applyAlignment="1" applyProtection="1">
      <alignment horizontal="center"/>
    </xf>
    <xf numFmtId="0" fontId="0" fillId="0" borderId="33" xfId="49" applyFont="1" applyBorder="1" applyAlignment="1" applyProtection="1">
      <alignment horizontal="center" vertical="center"/>
      <protection locked="0"/>
    </xf>
    <xf numFmtId="0" fontId="1" fillId="0" borderId="23" xfId="49" applyFont="1" applyBorder="1" applyAlignment="1" applyProtection="1">
      <alignment horizontal="center" vertical="center"/>
      <protection locked="0"/>
    </xf>
    <xf numFmtId="180" fontId="1" fillId="0" borderId="11" xfId="49" applyNumberFormat="1" applyFont="1" applyBorder="1" applyAlignment="1" applyProtection="1">
      <alignment horizontal="center"/>
    </xf>
    <xf numFmtId="3" fontId="12" fillId="0" borderId="11" xfId="51" applyNumberFormat="1" applyFont="1" applyBorder="1" applyAlignment="1">
      <alignment horizontal="center" vertical="center"/>
    </xf>
    <xf numFmtId="3" fontId="18" fillId="0" borderId="11" xfId="51" applyNumberFormat="1" applyFont="1" applyBorder="1" applyAlignment="1">
      <alignment horizontal="center" vertical="center"/>
    </xf>
    <xf numFmtId="0" fontId="0" fillId="0" borderId="11" xfId="49" applyFont="1" applyBorder="1" applyAlignment="1" applyProtection="1">
      <alignment vertical="center"/>
      <protection locked="0"/>
    </xf>
    <xf numFmtId="178" fontId="1" fillId="0" borderId="11" xfId="49" applyNumberFormat="1" applyFont="1" applyBorder="1" applyAlignment="1" applyProtection="1">
      <alignment horizontal="center"/>
      <protection locked="0"/>
    </xf>
    <xf numFmtId="179" fontId="1" fillId="0" borderId="32" xfId="49" applyNumberFormat="1" applyFont="1" applyBorder="1" applyProtection="1">
      <protection locked="0"/>
    </xf>
    <xf numFmtId="0" fontId="1" fillId="0" borderId="34" xfId="49" applyFont="1" applyBorder="1" applyProtection="1">
      <protection locked="0"/>
    </xf>
    <xf numFmtId="0" fontId="1" fillId="0" borderId="35" xfId="49" applyFont="1" applyBorder="1" applyAlignment="1" applyProtection="1">
      <alignment horizontal="center" vertical="center"/>
      <protection locked="0"/>
    </xf>
    <xf numFmtId="178" fontId="1" fillId="0" borderId="35" xfId="49" applyNumberFormat="1" applyFont="1" applyBorder="1" applyAlignment="1" applyProtection="1">
      <alignment horizontal="center"/>
      <protection locked="0"/>
    </xf>
    <xf numFmtId="181" fontId="1" fillId="0" borderId="35" xfId="52" applyNumberFormat="1" applyFont="1" applyBorder="1" applyAlignment="1" applyProtection="1">
      <alignment horizontal="center"/>
      <protection locked="0"/>
    </xf>
    <xf numFmtId="180" fontId="1" fillId="0" borderId="35" xfId="49" applyNumberFormat="1" applyFont="1" applyBorder="1" applyAlignment="1" applyProtection="1">
      <alignment horizontal="center"/>
    </xf>
    <xf numFmtId="179" fontId="1" fillId="0" borderId="36" xfId="49" applyNumberFormat="1" applyFont="1" applyBorder="1" applyProtection="1">
      <protection locked="0"/>
    </xf>
    <xf numFmtId="0" fontId="1" fillId="0" borderId="37" xfId="49" applyFont="1" applyBorder="1" applyAlignment="1" applyProtection="1">
      <alignment horizontal="center" vertical="center"/>
      <protection locked="0"/>
    </xf>
    <xf numFmtId="178" fontId="16" fillId="4" borderId="38" xfId="49" applyNumberFormat="1" applyFont="1" applyFill="1" applyBorder="1" applyAlignment="1" applyProtection="1">
      <alignment horizontal="right"/>
    </xf>
    <xf numFmtId="178" fontId="16" fillId="4" borderId="39" xfId="49" applyNumberFormat="1" applyFont="1" applyFill="1" applyBorder="1" applyAlignment="1" applyProtection="1">
      <alignment horizontal="right"/>
    </xf>
    <xf numFmtId="0" fontId="2" fillId="0" borderId="31" xfId="49" applyFont="1" applyFill="1" applyBorder="1" applyProtection="1">
      <protection locked="0"/>
    </xf>
    <xf numFmtId="0" fontId="2" fillId="0" borderId="29" xfId="49" applyFont="1" applyFill="1" applyBorder="1" applyProtection="1">
      <protection locked="0"/>
    </xf>
    <xf numFmtId="0" fontId="2" fillId="2" borderId="39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0" xfId="0" applyFont="1" applyFill="1" applyBorder="1">
      <alignment vertical="center"/>
    </xf>
    <xf numFmtId="0" fontId="1" fillId="0" borderId="20" xfId="49" applyFont="1" applyBorder="1" applyAlignment="1" applyProtection="1">
      <alignment horizontal="center"/>
      <protection locked="0"/>
    </xf>
    <xf numFmtId="0" fontId="1" fillId="0" borderId="32" xfId="49" applyFont="1" applyBorder="1" applyAlignment="1" applyProtection="1">
      <alignment horizontal="center"/>
      <protection locked="0"/>
    </xf>
    <xf numFmtId="0" fontId="1" fillId="0" borderId="22" xfId="49" applyFont="1" applyBorder="1" applyAlignment="1" applyProtection="1">
      <alignment horizontal="center"/>
      <protection locked="0"/>
    </xf>
    <xf numFmtId="0" fontId="2" fillId="0" borderId="0" xfId="49" applyFont="1" applyFill="1" applyBorder="1" applyProtection="1">
      <protection locked="0"/>
    </xf>
    <xf numFmtId="0" fontId="1" fillId="0" borderId="0" xfId="49" applyFont="1" applyFill="1" applyBorder="1" applyProtection="1">
      <protection locked="0"/>
    </xf>
    <xf numFmtId="0" fontId="2" fillId="0" borderId="0" xfId="49" applyFont="1" applyFill="1" applyBorder="1" applyAlignment="1" applyProtection="1">
      <alignment horizontal="center"/>
      <protection locked="0"/>
    </xf>
    <xf numFmtId="0" fontId="6" fillId="4" borderId="22" xfId="49" applyFont="1" applyFill="1" applyBorder="1" applyAlignment="1" applyProtection="1">
      <alignment horizontal="center" vertical="center" wrapText="1"/>
      <protection locked="0"/>
    </xf>
    <xf numFmtId="0" fontId="2" fillId="0" borderId="0" xfId="49" applyFont="1" applyFill="1" applyBorder="1" applyAlignment="1" applyProtection="1">
      <alignment horizontal="center" vertical="center" wrapText="1"/>
      <protection locked="0"/>
    </xf>
    <xf numFmtId="0" fontId="2" fillId="0" borderId="0" xfId="49" applyFont="1" applyBorder="1" applyAlignment="1" applyProtection="1">
      <alignment horizontal="center" vertical="center" wrapText="1"/>
      <protection locked="0"/>
    </xf>
    <xf numFmtId="0" fontId="0" fillId="0" borderId="33" xfId="49" applyFont="1" applyFill="1" applyBorder="1" applyProtection="1">
      <protection locked="0"/>
    </xf>
    <xf numFmtId="0" fontId="1" fillId="0" borderId="0" xfId="49" applyFont="1" applyBorder="1" applyProtection="1">
      <protection locked="0"/>
    </xf>
    <xf numFmtId="0" fontId="1" fillId="0" borderId="0" xfId="49" applyNumberFormat="1" applyFont="1" applyBorder="1" applyProtection="1">
      <protection locked="0"/>
    </xf>
    <xf numFmtId="0" fontId="0" fillId="0" borderId="23" xfId="49" applyFont="1" applyFill="1" applyBorder="1" applyAlignment="1" applyProtection="1">
      <alignment horizontal="center"/>
      <protection locked="0"/>
    </xf>
    <xf numFmtId="176" fontId="1" fillId="0" borderId="24" xfId="52" applyNumberFormat="1" applyFont="1" applyBorder="1" applyProtection="1">
      <protection locked="0"/>
    </xf>
    <xf numFmtId="0" fontId="1" fillId="0" borderId="26" xfId="49" applyFont="1" applyFill="1" applyBorder="1" applyProtection="1">
      <protection locked="0"/>
    </xf>
    <xf numFmtId="182" fontId="1" fillId="0" borderId="26" xfId="49" applyNumberFormat="1" applyFont="1" applyFill="1" applyBorder="1" applyProtection="1">
      <protection locked="0"/>
    </xf>
    <xf numFmtId="176" fontId="1" fillId="0" borderId="27" xfId="52" applyNumberFormat="1" applyFont="1" applyBorder="1" applyProtection="1">
      <protection locked="0"/>
    </xf>
    <xf numFmtId="176" fontId="16" fillId="4" borderId="30" xfId="52" applyFont="1" applyFill="1" applyBorder="1" applyProtection="1">
      <protection locked="0"/>
    </xf>
    <xf numFmtId="183" fontId="2" fillId="0" borderId="0" xfId="49" applyNumberFormat="1" applyFont="1" applyFill="1" applyBorder="1" applyProtection="1">
      <protection locked="0"/>
    </xf>
    <xf numFmtId="178" fontId="1" fillId="0" borderId="23" xfId="49" applyNumberFormat="1" applyFont="1" applyBorder="1" applyAlignment="1" applyProtection="1">
      <alignment horizontal="center" vertical="center"/>
      <protection locked="0"/>
    </xf>
    <xf numFmtId="178" fontId="1" fillId="0" borderId="24" xfId="49" applyNumberFormat="1" applyFont="1" applyBorder="1" applyAlignment="1" applyProtection="1">
      <alignment horizontal="center" vertical="center"/>
    </xf>
    <xf numFmtId="178" fontId="1" fillId="0" borderId="35" xfId="49" applyNumberFormat="1" applyFont="1" applyBorder="1" applyAlignment="1" applyProtection="1">
      <alignment horizontal="center" vertical="center"/>
      <protection locked="0"/>
    </xf>
    <xf numFmtId="178" fontId="6" fillId="4" borderId="29" xfId="49" applyNumberFormat="1" applyFont="1" applyFill="1" applyBorder="1" applyAlignment="1" applyProtection="1">
      <alignment horizontal="center"/>
      <protection locked="0"/>
    </xf>
    <xf numFmtId="178" fontId="2" fillId="4" borderId="29" xfId="49" applyNumberFormat="1" applyFont="1" applyFill="1" applyBorder="1" applyAlignment="1" applyProtection="1">
      <alignment horizontal="center"/>
      <protection locked="0"/>
    </xf>
    <xf numFmtId="178" fontId="16" fillId="4" borderId="30" xfId="49" applyNumberFormat="1" applyFont="1" applyFill="1" applyBorder="1" applyAlignment="1" applyProtection="1">
      <alignment horizontal="right"/>
    </xf>
    <xf numFmtId="183" fontId="1" fillId="2" borderId="0" xfId="49" applyNumberFormat="1" applyFont="1" applyFill="1" applyProtection="1">
      <protection locked="0"/>
    </xf>
    <xf numFmtId="0" fontId="1" fillId="2" borderId="0" xfId="49" applyFont="1" applyFill="1" applyAlignment="1" applyProtection="1">
      <alignment horizontal="right"/>
      <protection locked="0"/>
    </xf>
    <xf numFmtId="0" fontId="6" fillId="2" borderId="5" xfId="49" applyFont="1" applyFill="1" applyBorder="1" applyAlignment="1" applyProtection="1">
      <alignment horizontal="center" vertical="center"/>
      <protection locked="0"/>
    </xf>
    <xf numFmtId="0" fontId="2" fillId="2" borderId="6" xfId="49" applyFont="1" applyFill="1" applyBorder="1" applyAlignment="1" applyProtection="1">
      <alignment horizontal="center" vertical="center"/>
      <protection locked="0"/>
    </xf>
    <xf numFmtId="0" fontId="2" fillId="4" borderId="10" xfId="49" applyFont="1" applyFill="1" applyBorder="1" applyAlignment="1" applyProtection="1">
      <alignment horizontal="center" vertical="center"/>
      <protection locked="0"/>
    </xf>
    <xf numFmtId="0" fontId="6" fillId="4" borderId="10" xfId="49" applyFont="1" applyFill="1" applyBorder="1" applyAlignment="1" applyProtection="1">
      <alignment horizontal="center" vertical="center" wrapText="1"/>
      <protection locked="0"/>
    </xf>
    <xf numFmtId="0" fontId="6" fillId="4" borderId="11" xfId="49" applyFont="1" applyFill="1" applyBorder="1" applyAlignment="1" applyProtection="1">
      <alignment horizontal="center" vertical="center"/>
      <protection locked="0"/>
    </xf>
    <xf numFmtId="43" fontId="2" fillId="0" borderId="21" xfId="49" applyNumberFormat="1" applyFont="1" applyFill="1" applyBorder="1" applyAlignment="1" applyProtection="1">
      <alignment horizontal="center" vertical="center"/>
      <protection locked="0"/>
    </xf>
    <xf numFmtId="0" fontId="2" fillId="0" borderId="18" xfId="49" applyFont="1" applyFill="1" applyBorder="1" applyAlignment="1" applyProtection="1">
      <alignment horizontal="center" vertical="center"/>
      <protection locked="0"/>
    </xf>
    <xf numFmtId="0" fontId="2" fillId="0" borderId="19" xfId="49" applyFont="1" applyFill="1" applyBorder="1" applyAlignment="1" applyProtection="1">
      <alignment horizontal="center" vertical="center"/>
      <protection locked="0"/>
    </xf>
    <xf numFmtId="184" fontId="2" fillId="0" borderId="16" xfId="49" applyNumberFormat="1" applyFont="1" applyFill="1" applyBorder="1" applyAlignment="1" applyProtection="1">
      <alignment horizontal="center" vertical="center"/>
      <protection locked="0"/>
    </xf>
    <xf numFmtId="179" fontId="2" fillId="0" borderId="35" xfId="49" applyNumberFormat="1" applyFont="1" applyFill="1" applyBorder="1" applyAlignment="1" applyProtection="1">
      <alignment horizontal="center" vertical="center"/>
      <protection locked="0"/>
    </xf>
    <xf numFmtId="43" fontId="2" fillId="0" borderId="40" xfId="49" applyNumberFormat="1" applyFont="1" applyFill="1" applyBorder="1" applyAlignment="1" applyProtection="1">
      <alignment horizontal="center" vertical="center"/>
      <protection locked="0"/>
    </xf>
    <xf numFmtId="0" fontId="2" fillId="0" borderId="37" xfId="49" applyFont="1" applyFill="1" applyBorder="1" applyAlignment="1" applyProtection="1">
      <alignment horizontal="center" vertical="center"/>
      <protection locked="0"/>
    </xf>
    <xf numFmtId="0" fontId="0" fillId="0" borderId="41" xfId="50" applyFont="1" applyBorder="1" applyAlignment="1">
      <alignment horizontal="center" vertical="center"/>
    </xf>
    <xf numFmtId="0" fontId="0" fillId="0" borderId="11" xfId="50" applyFont="1" applyBorder="1" applyAlignment="1">
      <alignment horizontal="center" vertical="center"/>
    </xf>
    <xf numFmtId="0" fontId="1" fillId="0" borderId="42" xfId="50" applyFont="1" applyBorder="1" applyAlignment="1">
      <alignment horizontal="center"/>
    </xf>
    <xf numFmtId="0" fontId="1" fillId="0" borderId="43" xfId="50" applyFont="1" applyBorder="1" applyAlignment="1">
      <alignment horizontal="center"/>
    </xf>
    <xf numFmtId="0" fontId="2" fillId="2" borderId="20" xfId="49" applyFont="1" applyFill="1" applyBorder="1" applyAlignment="1" applyProtection="1">
      <alignment horizontal="center" vertical="center"/>
      <protection locked="0"/>
    </xf>
    <xf numFmtId="2" fontId="1" fillId="0" borderId="0" xfId="49" applyNumberFormat="1" applyFont="1" applyFill="1" applyBorder="1" applyAlignment="1" applyProtection="1">
      <alignment horizontal="right"/>
      <protection locked="0"/>
    </xf>
    <xf numFmtId="185" fontId="2" fillId="0" borderId="35" xfId="49" applyNumberFormat="1" applyFont="1" applyFill="1" applyBorder="1" applyAlignment="1" applyProtection="1">
      <alignment horizontal="center" vertical="center"/>
      <protection locked="0"/>
    </xf>
    <xf numFmtId="186" fontId="2" fillId="0" borderId="17" xfId="49" applyNumberFormat="1" applyFont="1" applyFill="1" applyBorder="1" applyAlignment="1" applyProtection="1">
      <alignment vertical="center"/>
      <protection locked="0"/>
    </xf>
    <xf numFmtId="186" fontId="2" fillId="0" borderId="44" xfId="49" applyNumberFormat="1" applyFont="1" applyFill="1" applyBorder="1" applyAlignment="1" applyProtection="1">
      <alignment vertical="center"/>
      <protection locked="0"/>
    </xf>
    <xf numFmtId="0" fontId="0" fillId="0" borderId="45" xfId="50" applyFont="1" applyBorder="1" applyAlignment="1">
      <alignment horizontal="center"/>
    </xf>
    <xf numFmtId="0" fontId="1" fillId="0" borderId="46" xfId="50" applyFont="1" applyBorder="1" applyAlignment="1">
      <alignment horizont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_零部件报价表part price breakdown" xfId="49"/>
    <cellStyle name="常规_询价单－2006" xfId="50"/>
    <cellStyle name="표준_Book2" xfId="51"/>
    <cellStyle name="千位分隔_询价单－2006" xfId="52"/>
    <cellStyle name="쉼표 [0]_BUSH 견적서" xfId="53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70"/>
  <sheetViews>
    <sheetView tabSelected="1" view="pageBreakPreview" zoomScale="80" zoomScaleNormal="75" workbookViewId="0">
      <selection activeCell="F5" sqref="F5"/>
    </sheetView>
  </sheetViews>
  <sheetFormatPr defaultColWidth="9" defaultRowHeight="15"/>
  <cols>
    <col min="1" max="1" width="19" style="12" customWidth="1"/>
    <col min="2" max="2" width="18.9166666666667" style="12" customWidth="1"/>
    <col min="3" max="3" width="15.9166666666667" style="12" customWidth="1"/>
    <col min="4" max="4" width="13.4166666666667" style="12" customWidth="1"/>
    <col min="5" max="5" width="14.9166666666667" style="12" customWidth="1"/>
    <col min="6" max="6" width="16.0833333333333" style="12" customWidth="1"/>
    <col min="7" max="7" width="20.4166666666667" style="12" customWidth="1"/>
    <col min="8" max="8" width="22.75" style="12" customWidth="1"/>
    <col min="9" max="9" width="16.0833333333333" style="12" customWidth="1"/>
    <col min="10" max="10" width="14.4166666666667" style="12" customWidth="1"/>
    <col min="11" max="11" width="14.9166666666667" style="12" customWidth="1"/>
    <col min="12" max="12" width="12.8083333333333" style="12" customWidth="1"/>
    <col min="13" max="16384" width="9" style="12"/>
  </cols>
  <sheetData>
    <row r="1" s="1" customFormat="1" ht="63.75" customHeight="1" spans="1:11">
      <c r="A1" s="13" t="s">
        <v>0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2" s="2" customFormat="1" ht="4.5" customHeight="1" spans="1:11">
      <c r="A2" s="15"/>
      <c r="B2" s="15"/>
      <c r="C2" s="15"/>
      <c r="D2" s="16"/>
      <c r="E2" s="16"/>
      <c r="F2" s="16"/>
      <c r="G2" s="16"/>
      <c r="H2" s="16"/>
      <c r="I2" s="15"/>
      <c r="J2" s="15"/>
      <c r="K2" s="15"/>
    </row>
    <row r="3" s="3" customFormat="1" ht="59.25" customHeight="1" spans="1:11">
      <c r="A3" s="17" t="s">
        <v>1</v>
      </c>
      <c r="B3" s="18"/>
      <c r="C3" s="18"/>
      <c r="D3" s="18"/>
      <c r="E3" s="18"/>
      <c r="F3" s="18"/>
      <c r="G3" s="18"/>
      <c r="H3" s="18"/>
      <c r="I3" s="18"/>
      <c r="J3" s="18"/>
      <c r="K3" s="150"/>
    </row>
    <row r="4" s="3" customFormat="1" ht="6.75" customHeight="1" spans="1:1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</row>
    <row r="5" s="4" customFormat="1" ht="18.75" customHeight="1" spans="1:11">
      <c r="A5" s="20" t="s">
        <v>2</v>
      </c>
      <c r="B5" s="21"/>
      <c r="C5" s="22"/>
      <c r="D5" s="23"/>
      <c r="E5" s="24"/>
      <c r="F5" s="24"/>
      <c r="G5" s="24"/>
      <c r="H5" s="24"/>
      <c r="I5" s="20" t="s">
        <v>3</v>
      </c>
      <c r="J5" s="151"/>
      <c r="K5" s="151"/>
    </row>
    <row r="6" s="4" customFormat="1" ht="6" customHeight="1" spans="1:11">
      <c r="A6" s="24"/>
      <c r="B6" s="24"/>
      <c r="C6" s="25"/>
      <c r="D6" s="25"/>
      <c r="E6" s="24"/>
      <c r="F6" s="24"/>
      <c r="G6" s="24"/>
      <c r="H6" s="24"/>
      <c r="I6" s="24"/>
      <c r="J6" s="152"/>
      <c r="K6" s="152"/>
    </row>
    <row r="7" s="4" customFormat="1" ht="17.25" customHeight="1" spans="1:11">
      <c r="A7" s="26" t="s">
        <v>4</v>
      </c>
      <c r="B7" s="27"/>
      <c r="C7" s="27"/>
      <c r="D7" s="27"/>
      <c r="E7" s="24"/>
      <c r="F7" s="24"/>
      <c r="G7" s="24"/>
      <c r="H7" s="24"/>
      <c r="I7" s="20" t="s">
        <v>5</v>
      </c>
      <c r="J7" s="151"/>
      <c r="K7" s="151"/>
    </row>
    <row r="8" s="5" customFormat="1" ht="6" customHeight="1" spans="1:11">
      <c r="A8" s="28"/>
      <c r="B8" s="29"/>
      <c r="C8" s="29"/>
      <c r="D8" s="29"/>
      <c r="E8" s="30"/>
      <c r="F8" s="30"/>
      <c r="G8" s="31"/>
      <c r="H8" s="31"/>
      <c r="I8" s="31"/>
      <c r="J8" s="29"/>
      <c r="K8" s="29"/>
    </row>
    <row r="9" ht="16.5" customHeight="1" spans="1:11">
      <c r="A9" s="32" t="s">
        <v>6</v>
      </c>
      <c r="B9" s="33"/>
      <c r="C9" s="34">
        <v>45499</v>
      </c>
      <c r="D9" s="35"/>
      <c r="E9" s="35"/>
      <c r="F9" s="36"/>
      <c r="G9" s="37" t="s">
        <v>7</v>
      </c>
      <c r="H9" s="38"/>
      <c r="I9" s="38"/>
      <c r="J9" s="38"/>
      <c r="K9" s="153"/>
    </row>
    <row r="10" s="6" customFormat="1" ht="16.5" customHeight="1" spans="1:11">
      <c r="A10" s="39" t="s">
        <v>8</v>
      </c>
      <c r="B10" s="40"/>
      <c r="C10" s="41">
        <v>11784737</v>
      </c>
      <c r="D10" s="42"/>
      <c r="E10" s="42"/>
      <c r="F10" s="43"/>
      <c r="G10" s="44" t="s">
        <v>9</v>
      </c>
      <c r="H10" s="45"/>
      <c r="I10" s="45"/>
      <c r="J10" s="45"/>
      <c r="K10" s="154"/>
    </row>
    <row r="11" s="6" customFormat="1" ht="16.5" customHeight="1" spans="1:11">
      <c r="A11" s="39" t="s">
        <v>10</v>
      </c>
      <c r="B11" s="40"/>
      <c r="C11" s="46" t="s">
        <v>11</v>
      </c>
      <c r="D11" s="47"/>
      <c r="E11" s="47"/>
      <c r="F11" s="48"/>
      <c r="G11" s="44" t="s">
        <v>12</v>
      </c>
      <c r="H11" s="45"/>
      <c r="I11" s="45"/>
      <c r="J11" s="45"/>
      <c r="K11" s="154"/>
    </row>
    <row r="12" s="6" customFormat="1" ht="16.5" customHeight="1" spans="1:11">
      <c r="A12" s="39" t="s">
        <v>13</v>
      </c>
      <c r="B12" s="40"/>
      <c r="C12" s="46" t="s">
        <v>14</v>
      </c>
      <c r="D12" s="47"/>
      <c r="E12" s="47"/>
      <c r="F12" s="48"/>
      <c r="G12" s="44" t="s">
        <v>15</v>
      </c>
      <c r="H12" s="45"/>
      <c r="I12" s="45"/>
      <c r="J12" s="45"/>
      <c r="K12" s="154"/>
    </row>
    <row r="13" s="6" customFormat="1" ht="16.5" customHeight="1" spans="1:11">
      <c r="A13" s="39" t="s">
        <v>16</v>
      </c>
      <c r="B13" s="40"/>
      <c r="C13" s="46" t="s">
        <v>17</v>
      </c>
      <c r="D13" s="47"/>
      <c r="E13" s="47"/>
      <c r="F13" s="48"/>
      <c r="G13" s="44" t="s">
        <v>18</v>
      </c>
      <c r="H13" s="45"/>
      <c r="I13" s="45"/>
      <c r="J13" s="45"/>
      <c r="K13" s="154"/>
    </row>
    <row r="14" s="6" customFormat="1" ht="16.5" customHeight="1" spans="1:11">
      <c r="A14" s="39" t="s">
        <v>19</v>
      </c>
      <c r="B14" s="40"/>
      <c r="C14" s="46" t="s">
        <v>20</v>
      </c>
      <c r="D14" s="47"/>
      <c r="E14" s="47"/>
      <c r="F14" s="48"/>
      <c r="G14" s="44" t="s">
        <v>21</v>
      </c>
      <c r="H14" s="46"/>
      <c r="I14" s="47"/>
      <c r="J14" s="47"/>
      <c r="K14" s="48"/>
    </row>
    <row r="15" s="6" customFormat="1" ht="16.5" customHeight="1" spans="1:11">
      <c r="A15" s="39" t="s">
        <v>22</v>
      </c>
      <c r="B15" s="40"/>
      <c r="C15" s="49"/>
      <c r="D15" s="47"/>
      <c r="E15" s="47"/>
      <c r="F15" s="48"/>
      <c r="G15" s="44" t="s">
        <v>23</v>
      </c>
      <c r="H15" s="45"/>
      <c r="I15" s="45"/>
      <c r="J15" s="45"/>
      <c r="K15" s="154"/>
    </row>
    <row r="16" s="6" customFormat="1" ht="16.5" customHeight="1" spans="1:11">
      <c r="A16" s="39" t="s">
        <v>24</v>
      </c>
      <c r="B16" s="40"/>
      <c r="C16" s="50" t="s">
        <v>25</v>
      </c>
      <c r="D16" s="51"/>
      <c r="E16" s="51"/>
      <c r="F16" s="52"/>
      <c r="G16" s="53" t="s">
        <v>26</v>
      </c>
      <c r="H16" s="45"/>
      <c r="I16" s="45"/>
      <c r="J16" s="45"/>
      <c r="K16" s="154"/>
    </row>
    <row r="17" s="6" customFormat="1" ht="16.5" customHeight="1" spans="1:11">
      <c r="A17" s="39" t="s">
        <v>27</v>
      </c>
      <c r="B17" s="40"/>
      <c r="C17" s="54">
        <v>13617723255</v>
      </c>
      <c r="D17" s="55"/>
      <c r="E17" s="55"/>
      <c r="F17" s="56"/>
      <c r="G17" s="57"/>
      <c r="H17" s="45"/>
      <c r="I17" s="45"/>
      <c r="J17" s="45"/>
      <c r="K17" s="154"/>
    </row>
    <row r="18" s="6" customFormat="1" ht="16.5" customHeight="1" spans="1:11">
      <c r="A18" s="58" t="s">
        <v>28</v>
      </c>
      <c r="B18" s="59"/>
      <c r="C18" s="60"/>
      <c r="D18" s="61"/>
      <c r="E18" s="61"/>
      <c r="F18" s="62"/>
      <c r="G18" s="63"/>
      <c r="H18" s="64"/>
      <c r="I18" s="64"/>
      <c r="J18" s="64"/>
      <c r="K18" s="155"/>
    </row>
    <row r="19" s="6" customFormat="1" ht="6" customHeight="1" spans="1:11">
      <c r="A19" s="65"/>
      <c r="B19" s="66"/>
      <c r="C19" s="67"/>
      <c r="D19" s="68"/>
      <c r="E19" s="68"/>
      <c r="F19" s="68"/>
      <c r="G19" s="68"/>
      <c r="H19" s="68"/>
      <c r="I19" s="68"/>
      <c r="J19" s="68"/>
      <c r="K19" s="68"/>
    </row>
    <row r="20" s="7" customFormat="1" ht="17.25" customHeight="1" spans="1:14">
      <c r="A20" s="69" t="s">
        <v>29</v>
      </c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156"/>
      <c r="M20" s="156"/>
      <c r="N20" s="156"/>
    </row>
    <row r="21" s="6" customFormat="1" ht="6" customHeight="1" spans="1:14">
      <c r="A21" s="71"/>
      <c r="B21" s="71"/>
      <c r="C21" s="71"/>
      <c r="D21" s="71"/>
      <c r="E21" s="71"/>
      <c r="F21" s="71"/>
      <c r="G21" s="71"/>
      <c r="H21" s="71"/>
      <c r="I21" s="71"/>
      <c r="J21" s="71"/>
      <c r="K21" s="71"/>
      <c r="L21" s="157"/>
      <c r="M21" s="157"/>
      <c r="N21" s="157"/>
    </row>
    <row r="22" s="8" customFormat="1" ht="15.6" spans="1:14">
      <c r="A22" s="72">
        <v>1</v>
      </c>
      <c r="B22" s="73"/>
      <c r="C22" s="73">
        <v>2</v>
      </c>
      <c r="D22" s="73">
        <v>3</v>
      </c>
      <c r="E22" s="73">
        <v>4</v>
      </c>
      <c r="F22" s="73">
        <v>5</v>
      </c>
      <c r="G22" s="74">
        <v>6</v>
      </c>
      <c r="H22" s="75">
        <v>7</v>
      </c>
      <c r="I22" s="73">
        <v>8</v>
      </c>
      <c r="J22" s="73">
        <v>9</v>
      </c>
      <c r="K22" s="74">
        <v>10</v>
      </c>
      <c r="L22" s="158"/>
      <c r="M22" s="158"/>
      <c r="N22" s="158"/>
    </row>
    <row r="23" s="7" customFormat="1" ht="48.75" customHeight="1" spans="1:15">
      <c r="A23" s="76" t="s">
        <v>30</v>
      </c>
      <c r="B23" s="77"/>
      <c r="C23" s="78" t="s">
        <v>31</v>
      </c>
      <c r="D23" s="78" t="s">
        <v>32</v>
      </c>
      <c r="E23" s="78" t="s">
        <v>33</v>
      </c>
      <c r="F23" s="79" t="s">
        <v>34</v>
      </c>
      <c r="G23" s="80" t="s">
        <v>35</v>
      </c>
      <c r="H23" s="81" t="s">
        <v>36</v>
      </c>
      <c r="I23" s="78" t="s">
        <v>37</v>
      </c>
      <c r="J23" s="78" t="s">
        <v>38</v>
      </c>
      <c r="K23" s="159" t="s">
        <v>39</v>
      </c>
      <c r="L23" s="160"/>
      <c r="M23" s="160"/>
      <c r="N23" s="160"/>
      <c r="O23" s="161"/>
    </row>
    <row r="24" s="6" customFormat="1" ht="20" customHeight="1" spans="1:14">
      <c r="A24" s="82" t="s">
        <v>40</v>
      </c>
      <c r="B24" s="83"/>
      <c r="C24" s="84" t="s">
        <v>41</v>
      </c>
      <c r="D24" s="85" t="s">
        <v>42</v>
      </c>
      <c r="E24" s="86">
        <v>0.24</v>
      </c>
      <c r="F24" s="87">
        <v>32.5</v>
      </c>
      <c r="G24" s="88">
        <f t="shared" ref="G24:G38" si="0">F24*E24</f>
        <v>7.8</v>
      </c>
      <c r="H24" s="89"/>
      <c r="I24" s="162"/>
      <c r="J24" s="89"/>
      <c r="K24" s="87"/>
      <c r="L24" s="163"/>
      <c r="M24" s="164"/>
      <c r="N24" s="157"/>
    </row>
    <row r="25" s="6" customFormat="1" ht="20.15" customHeight="1" spans="1:14">
      <c r="A25" s="90" t="s">
        <v>43</v>
      </c>
      <c r="B25" s="83">
        <v>15</v>
      </c>
      <c r="C25" s="84" t="s">
        <v>41</v>
      </c>
      <c r="D25" s="85" t="s">
        <v>42</v>
      </c>
      <c r="E25" s="86">
        <v>0.1</v>
      </c>
      <c r="F25" s="87">
        <v>32.5</v>
      </c>
      <c r="G25" s="88">
        <f t="shared" si="0"/>
        <v>3.25</v>
      </c>
      <c r="H25" s="91"/>
      <c r="I25" s="162"/>
      <c r="J25" s="89"/>
      <c r="K25" s="92"/>
      <c r="L25" s="157"/>
      <c r="M25" s="157"/>
      <c r="N25" s="157"/>
    </row>
    <row r="26" s="6" customFormat="1" ht="15.6" spans="1:14">
      <c r="A26" s="90" t="s">
        <v>44</v>
      </c>
      <c r="B26" s="83">
        <v>45</v>
      </c>
      <c r="C26" s="84" t="s">
        <v>41</v>
      </c>
      <c r="D26" s="85" t="s">
        <v>42</v>
      </c>
      <c r="E26" s="86">
        <v>0.9</v>
      </c>
      <c r="F26" s="87">
        <v>29</v>
      </c>
      <c r="G26" s="88">
        <f t="shared" si="0"/>
        <v>26.1</v>
      </c>
      <c r="H26" s="91"/>
      <c r="I26" s="162"/>
      <c r="J26" s="89"/>
      <c r="K26" s="92"/>
      <c r="L26" s="157"/>
      <c r="M26" s="157"/>
      <c r="N26" s="157"/>
    </row>
    <row r="27" s="6" customFormat="1" ht="15.6" spans="1:14">
      <c r="A27" s="90" t="s">
        <v>45</v>
      </c>
      <c r="B27" s="83"/>
      <c r="C27" s="84" t="s">
        <v>41</v>
      </c>
      <c r="D27" s="85" t="s">
        <v>42</v>
      </c>
      <c r="E27" s="86">
        <v>0.9</v>
      </c>
      <c r="F27" s="87">
        <v>29</v>
      </c>
      <c r="G27" s="88">
        <f t="shared" si="0"/>
        <v>26.1</v>
      </c>
      <c r="H27" s="91"/>
      <c r="I27" s="162"/>
      <c r="J27" s="89"/>
      <c r="K27" s="92"/>
      <c r="L27" s="157"/>
      <c r="M27" s="157"/>
      <c r="N27" s="157"/>
    </row>
    <row r="28" s="6" customFormat="1" ht="15.6" spans="1:14">
      <c r="A28" s="90" t="s">
        <v>46</v>
      </c>
      <c r="B28" s="83"/>
      <c r="C28" s="84" t="s">
        <v>41</v>
      </c>
      <c r="D28" s="85" t="s">
        <v>47</v>
      </c>
      <c r="E28" s="86">
        <v>2</v>
      </c>
      <c r="F28" s="92">
        <v>2.08</v>
      </c>
      <c r="G28" s="88">
        <f t="shared" si="0"/>
        <v>4.16</v>
      </c>
      <c r="H28" s="91"/>
      <c r="I28" s="162"/>
      <c r="J28" s="165"/>
      <c r="K28" s="85"/>
      <c r="L28" s="157"/>
      <c r="M28" s="157"/>
      <c r="N28" s="157"/>
    </row>
    <row r="29" s="6" customFormat="1" ht="15.6" spans="1:14">
      <c r="A29" s="93" t="s">
        <v>48</v>
      </c>
      <c r="B29" s="83"/>
      <c r="C29" s="84" t="s">
        <v>41</v>
      </c>
      <c r="D29" s="85" t="s">
        <v>49</v>
      </c>
      <c r="E29" s="86">
        <v>1</v>
      </c>
      <c r="F29" s="92">
        <v>2.08</v>
      </c>
      <c r="G29" s="88">
        <f t="shared" si="0"/>
        <v>2.08</v>
      </c>
      <c r="H29" s="91"/>
      <c r="I29" s="162"/>
      <c r="J29" s="91"/>
      <c r="K29" s="166"/>
      <c r="L29" s="157"/>
      <c r="M29" s="157"/>
      <c r="N29" s="157"/>
    </row>
    <row r="30" s="6" customFormat="1" ht="15.6" spans="1:14">
      <c r="A30" s="90" t="s">
        <v>50</v>
      </c>
      <c r="B30" s="83"/>
      <c r="C30" s="84" t="s">
        <v>41</v>
      </c>
      <c r="D30" s="85" t="s">
        <v>49</v>
      </c>
      <c r="E30" s="86">
        <v>14</v>
      </c>
      <c r="F30" s="92">
        <v>0.26</v>
      </c>
      <c r="G30" s="88">
        <f t="shared" si="0"/>
        <v>3.64</v>
      </c>
      <c r="H30" s="91"/>
      <c r="I30" s="162"/>
      <c r="J30" s="91"/>
      <c r="K30" s="166"/>
      <c r="L30" s="157"/>
      <c r="M30" s="157"/>
      <c r="N30" s="157"/>
    </row>
    <row r="31" s="6" customFormat="1" ht="15.6" spans="1:14">
      <c r="A31" s="90" t="s">
        <v>51</v>
      </c>
      <c r="B31" s="83"/>
      <c r="C31" s="84" t="s">
        <v>41</v>
      </c>
      <c r="D31" s="85" t="s">
        <v>49</v>
      </c>
      <c r="E31" s="86">
        <v>6</v>
      </c>
      <c r="F31" s="92">
        <v>0.208</v>
      </c>
      <c r="G31" s="88">
        <f t="shared" si="0"/>
        <v>1.248</v>
      </c>
      <c r="H31" s="91"/>
      <c r="I31" s="162"/>
      <c r="J31" s="91"/>
      <c r="K31" s="166"/>
      <c r="L31" s="157"/>
      <c r="M31" s="157"/>
      <c r="N31" s="157"/>
    </row>
    <row r="32" s="6" customFormat="1" ht="15.6" spans="1:14">
      <c r="A32" s="90" t="s">
        <v>52</v>
      </c>
      <c r="B32" s="83"/>
      <c r="C32" s="84" t="s">
        <v>41</v>
      </c>
      <c r="D32" s="85" t="s">
        <v>49</v>
      </c>
      <c r="E32" s="86">
        <v>2</v>
      </c>
      <c r="F32" s="92">
        <v>0.832</v>
      </c>
      <c r="G32" s="88">
        <f t="shared" si="0"/>
        <v>1.664</v>
      </c>
      <c r="H32" s="91"/>
      <c r="I32" s="162"/>
      <c r="J32" s="91"/>
      <c r="K32" s="166"/>
      <c r="L32" s="157"/>
      <c r="M32" s="157"/>
      <c r="N32" s="157"/>
    </row>
    <row r="33" s="6" customFormat="1" ht="15.6" spans="1:14">
      <c r="A33" s="90" t="s">
        <v>53</v>
      </c>
      <c r="B33" s="83"/>
      <c r="C33" s="84" t="s">
        <v>41</v>
      </c>
      <c r="D33" s="85" t="s">
        <v>49</v>
      </c>
      <c r="E33" s="86">
        <v>1</v>
      </c>
      <c r="F33" s="92">
        <v>29.12</v>
      </c>
      <c r="G33" s="88">
        <f t="shared" si="0"/>
        <v>29.12</v>
      </c>
      <c r="H33" s="91"/>
      <c r="I33" s="162"/>
      <c r="J33" s="91"/>
      <c r="K33" s="166"/>
      <c r="L33" s="157"/>
      <c r="M33" s="157"/>
      <c r="N33" s="157"/>
    </row>
    <row r="34" s="6" customFormat="1" ht="15.6" spans="1:14">
      <c r="A34" s="90" t="s">
        <v>54</v>
      </c>
      <c r="B34" s="83"/>
      <c r="C34" s="84" t="s">
        <v>41</v>
      </c>
      <c r="D34" s="85" t="s">
        <v>49</v>
      </c>
      <c r="E34" s="86">
        <v>4</v>
      </c>
      <c r="F34" s="92">
        <v>0.832</v>
      </c>
      <c r="G34" s="88">
        <f t="shared" si="0"/>
        <v>3.328</v>
      </c>
      <c r="H34" s="91"/>
      <c r="I34" s="162"/>
      <c r="J34" s="91"/>
      <c r="K34" s="166"/>
      <c r="L34" s="157"/>
      <c r="M34" s="157"/>
      <c r="N34" s="157"/>
    </row>
    <row r="35" s="6" customFormat="1" ht="15.6" spans="1:14">
      <c r="A35" s="90" t="s">
        <v>55</v>
      </c>
      <c r="B35" s="83"/>
      <c r="C35" s="84" t="s">
        <v>41</v>
      </c>
      <c r="D35" s="85" t="s">
        <v>56</v>
      </c>
      <c r="E35" s="86">
        <v>5</v>
      </c>
      <c r="F35" s="92">
        <v>1.04</v>
      </c>
      <c r="G35" s="88">
        <f t="shared" si="0"/>
        <v>5.2</v>
      </c>
      <c r="H35" s="91"/>
      <c r="I35" s="162"/>
      <c r="J35" s="91"/>
      <c r="K35" s="166"/>
      <c r="L35" s="157"/>
      <c r="M35" s="157"/>
      <c r="N35" s="157"/>
    </row>
    <row r="36" s="6" customFormat="1" ht="15.6" spans="1:14">
      <c r="A36" s="90" t="s">
        <v>57</v>
      </c>
      <c r="B36" s="83"/>
      <c r="C36" s="84" t="s">
        <v>41</v>
      </c>
      <c r="D36" s="85" t="s">
        <v>49</v>
      </c>
      <c r="E36" s="86">
        <v>4</v>
      </c>
      <c r="F36" s="92">
        <v>0.52</v>
      </c>
      <c r="G36" s="88">
        <f t="shared" si="0"/>
        <v>2.08</v>
      </c>
      <c r="H36" s="91"/>
      <c r="I36" s="162"/>
      <c r="J36" s="91"/>
      <c r="K36" s="166"/>
      <c r="L36" s="157"/>
      <c r="M36" s="157"/>
      <c r="N36" s="157"/>
    </row>
    <row r="37" s="6" customFormat="1" ht="15.6" spans="1:14">
      <c r="A37" s="90" t="s">
        <v>58</v>
      </c>
      <c r="B37" s="83"/>
      <c r="C37" s="84" t="s">
        <v>41</v>
      </c>
      <c r="D37" s="85" t="s">
        <v>49</v>
      </c>
      <c r="E37" s="86">
        <v>1</v>
      </c>
      <c r="F37" s="92">
        <v>2.08</v>
      </c>
      <c r="G37" s="88">
        <f t="shared" si="0"/>
        <v>2.08</v>
      </c>
      <c r="H37" s="91"/>
      <c r="I37" s="162"/>
      <c r="J37" s="91"/>
      <c r="K37" s="166"/>
      <c r="L37" s="157"/>
      <c r="M37" s="157"/>
      <c r="N37" s="157"/>
    </row>
    <row r="38" s="6" customFormat="1" ht="15.6" spans="1:14">
      <c r="A38" s="93" t="s">
        <v>59</v>
      </c>
      <c r="B38" s="83"/>
      <c r="C38" s="84" t="s">
        <v>41</v>
      </c>
      <c r="D38" s="85" t="s">
        <v>49</v>
      </c>
      <c r="E38" s="86">
        <v>1</v>
      </c>
      <c r="F38" s="92">
        <v>0.52</v>
      </c>
      <c r="G38" s="88">
        <f t="shared" si="0"/>
        <v>0.52</v>
      </c>
      <c r="H38" s="91"/>
      <c r="I38" s="162"/>
      <c r="J38" s="91"/>
      <c r="K38" s="166"/>
      <c r="L38" s="157"/>
      <c r="M38" s="157"/>
      <c r="N38" s="157"/>
    </row>
    <row r="39" s="6" customFormat="1" ht="21" customHeight="1" spans="1:14">
      <c r="A39" s="94"/>
      <c r="B39" s="95"/>
      <c r="C39" s="96"/>
      <c r="D39" s="97"/>
      <c r="E39" s="98"/>
      <c r="F39" s="99"/>
      <c r="G39" s="100"/>
      <c r="H39" s="101"/>
      <c r="I39" s="167"/>
      <c r="J39" s="168"/>
      <c r="K39" s="169"/>
      <c r="L39" s="157"/>
      <c r="M39" s="157"/>
      <c r="N39" s="157"/>
    </row>
    <row r="40" s="7" customFormat="1" ht="16.35" spans="1:14">
      <c r="A40" s="102" t="s">
        <v>60</v>
      </c>
      <c r="B40" s="103"/>
      <c r="C40" s="103"/>
      <c r="D40" s="103"/>
      <c r="E40" s="103"/>
      <c r="F40" s="103"/>
      <c r="G40" s="104">
        <v>143</v>
      </c>
      <c r="H40" s="105"/>
      <c r="I40" s="103"/>
      <c r="J40" s="103"/>
      <c r="K40" s="170"/>
      <c r="L40" s="156"/>
      <c r="M40" s="171"/>
      <c r="N40" s="171"/>
    </row>
    <row r="41" s="6" customFormat="1" ht="24" customHeight="1" spans="1:12">
      <c r="A41" s="106" t="s">
        <v>61</v>
      </c>
      <c r="B41" s="107"/>
      <c r="C41" s="107"/>
      <c r="D41" s="107"/>
      <c r="E41" s="107"/>
      <c r="F41" s="107"/>
      <c r="G41" s="107"/>
      <c r="H41" s="107"/>
      <c r="I41" s="107"/>
      <c r="J41" s="107"/>
      <c r="K41" s="107"/>
      <c r="L41" s="163"/>
    </row>
    <row r="42" s="9" customFormat="1" ht="24" customHeight="1" spans="1:11">
      <c r="A42" s="108" t="s">
        <v>62</v>
      </c>
      <c r="B42" s="109"/>
      <c r="C42" s="110" t="s">
        <v>63</v>
      </c>
      <c r="D42" s="111"/>
      <c r="E42" s="111"/>
      <c r="F42" s="112"/>
      <c r="G42" s="113" t="s">
        <v>64</v>
      </c>
      <c r="H42" s="114"/>
      <c r="I42" s="110" t="s">
        <v>65</v>
      </c>
      <c r="J42" s="111"/>
      <c r="K42" s="112"/>
    </row>
    <row r="43" s="10" customFormat="1" ht="15.6" spans="1:11">
      <c r="A43" s="115" t="s">
        <v>66</v>
      </c>
      <c r="B43" s="116"/>
      <c r="C43" s="117">
        <v>12</v>
      </c>
      <c r="D43" s="117">
        <v>13</v>
      </c>
      <c r="E43" s="117">
        <v>14</v>
      </c>
      <c r="F43" s="118">
        <v>15</v>
      </c>
      <c r="G43" s="119">
        <v>16</v>
      </c>
      <c r="H43" s="120" t="s">
        <v>67</v>
      </c>
      <c r="I43" s="117">
        <v>18</v>
      </c>
      <c r="J43" s="117">
        <v>19</v>
      </c>
      <c r="K43" s="118">
        <v>20</v>
      </c>
    </row>
    <row r="44" s="11" customFormat="1" ht="15.6" spans="1:11">
      <c r="A44" s="121" t="s">
        <v>68</v>
      </c>
      <c r="B44" s="121" t="s">
        <v>68</v>
      </c>
      <c r="C44" s="121" t="s">
        <v>69</v>
      </c>
      <c r="D44" s="121" t="s">
        <v>70</v>
      </c>
      <c r="E44" s="121" t="s">
        <v>71</v>
      </c>
      <c r="F44" s="121" t="s">
        <v>63</v>
      </c>
      <c r="G44" s="122"/>
      <c r="H44" s="122"/>
      <c r="I44" s="122"/>
      <c r="J44" s="122"/>
      <c r="K44" s="122"/>
    </row>
    <row r="45" s="11" customFormat="1" ht="22.5" customHeight="1" spans="1:11">
      <c r="A45" s="121" t="s">
        <v>72</v>
      </c>
      <c r="B45" s="123" t="s">
        <v>73</v>
      </c>
      <c r="C45" s="123" t="s">
        <v>74</v>
      </c>
      <c r="D45" s="123" t="s">
        <v>75</v>
      </c>
      <c r="E45" s="123" t="s">
        <v>76</v>
      </c>
      <c r="F45" s="123" t="s">
        <v>77</v>
      </c>
      <c r="G45" s="121" t="s">
        <v>78</v>
      </c>
      <c r="H45" s="121" t="s">
        <v>79</v>
      </c>
      <c r="I45" s="121" t="s">
        <v>80</v>
      </c>
      <c r="J45" s="121" t="s">
        <v>81</v>
      </c>
      <c r="K45" s="121" t="s">
        <v>82</v>
      </c>
    </row>
    <row r="46" s="11" customFormat="1" ht="22.5" customHeight="1" spans="1:11">
      <c r="A46" s="124" t="s">
        <v>83</v>
      </c>
      <c r="B46" s="125" t="s">
        <v>84</v>
      </c>
      <c r="C46" s="125">
        <v>25</v>
      </c>
      <c r="D46" s="125">
        <v>145</v>
      </c>
      <c r="E46" s="125">
        <v>1</v>
      </c>
      <c r="F46" s="126"/>
      <c r="G46" s="127"/>
      <c r="H46" s="128"/>
      <c r="I46" s="128"/>
      <c r="J46" s="128"/>
      <c r="K46" s="121"/>
    </row>
    <row r="47" s="11" customFormat="1" ht="22.5" customHeight="1" spans="1:11">
      <c r="A47" s="124" t="s">
        <v>85</v>
      </c>
      <c r="B47" s="125" t="s">
        <v>86</v>
      </c>
      <c r="C47" s="125">
        <v>25</v>
      </c>
      <c r="D47" s="125">
        <v>210</v>
      </c>
      <c r="E47" s="125">
        <v>2</v>
      </c>
      <c r="F47" s="126"/>
      <c r="G47" s="127"/>
      <c r="H47" s="128"/>
      <c r="I47" s="128"/>
      <c r="J47" s="128"/>
      <c r="K47" s="121"/>
    </row>
    <row r="48" s="11" customFormat="1" ht="22.5" customHeight="1" spans="1:11">
      <c r="A48" s="124" t="s">
        <v>87</v>
      </c>
      <c r="B48" s="125" t="s">
        <v>88</v>
      </c>
      <c r="C48" s="125">
        <v>25</v>
      </c>
      <c r="D48" s="125">
        <v>210</v>
      </c>
      <c r="E48" s="125">
        <v>2</v>
      </c>
      <c r="F48" s="126"/>
      <c r="G48" s="127"/>
      <c r="H48" s="128"/>
      <c r="I48" s="128"/>
      <c r="J48" s="128"/>
      <c r="K48" s="121"/>
    </row>
    <row r="49" s="11" customFormat="1" ht="22.5" customHeight="1" spans="1:11">
      <c r="A49" s="124" t="s">
        <v>89</v>
      </c>
      <c r="B49" s="125" t="s">
        <v>90</v>
      </c>
      <c r="C49" s="125">
        <v>25</v>
      </c>
      <c r="D49" s="125">
        <v>210</v>
      </c>
      <c r="E49" s="125">
        <v>2</v>
      </c>
      <c r="F49" s="126"/>
      <c r="G49" s="127"/>
      <c r="H49" s="128"/>
      <c r="I49" s="128"/>
      <c r="J49" s="128"/>
      <c r="K49" s="121"/>
    </row>
    <row r="50" s="11" customFormat="1" ht="22.5" customHeight="1" spans="1:11">
      <c r="A50" s="124" t="s">
        <v>91</v>
      </c>
      <c r="B50" s="125" t="s">
        <v>92</v>
      </c>
      <c r="C50" s="125">
        <v>25</v>
      </c>
      <c r="D50" s="125">
        <v>210</v>
      </c>
      <c r="E50" s="125">
        <v>2</v>
      </c>
      <c r="F50" s="126"/>
      <c r="G50" s="127"/>
      <c r="H50" s="128"/>
      <c r="I50" s="128"/>
      <c r="J50" s="128"/>
      <c r="K50" s="121"/>
    </row>
    <row r="51" s="11" customFormat="1" ht="22.5" customHeight="1" spans="1:11">
      <c r="A51" s="124" t="s">
        <v>93</v>
      </c>
      <c r="B51" s="125" t="s">
        <v>94</v>
      </c>
      <c r="C51" s="125">
        <v>25</v>
      </c>
      <c r="D51" s="125">
        <v>180</v>
      </c>
      <c r="E51" s="125">
        <v>2</v>
      </c>
      <c r="F51" s="126"/>
      <c r="G51" s="127"/>
      <c r="H51" s="128"/>
      <c r="I51" s="128"/>
      <c r="J51" s="128"/>
      <c r="K51" s="121"/>
    </row>
    <row r="52" s="11" customFormat="1" ht="22.5" customHeight="1" spans="1:11">
      <c r="A52" s="124" t="s">
        <v>95</v>
      </c>
      <c r="B52" s="125" t="s">
        <v>96</v>
      </c>
      <c r="C52" s="125">
        <v>25</v>
      </c>
      <c r="D52" s="125">
        <v>180</v>
      </c>
      <c r="E52" s="125">
        <v>2</v>
      </c>
      <c r="F52" s="126"/>
      <c r="G52" s="127"/>
      <c r="H52" s="128"/>
      <c r="I52" s="128"/>
      <c r="J52" s="128"/>
      <c r="K52" s="121"/>
    </row>
    <row r="53" s="6" customFormat="1" ht="20.15" customHeight="1" spans="1:11">
      <c r="A53" s="124" t="s">
        <v>97</v>
      </c>
      <c r="B53" s="125" t="s">
        <v>98</v>
      </c>
      <c r="C53" s="125">
        <v>30</v>
      </c>
      <c r="D53" s="129">
        <v>210</v>
      </c>
      <c r="E53" s="130">
        <v>4</v>
      </c>
      <c r="F53" s="126">
        <f t="shared" ref="F53:F60" si="1">C53/3600*D53*E53</f>
        <v>7</v>
      </c>
      <c r="G53" s="131"/>
      <c r="H53" s="132"/>
      <c r="I53" s="172"/>
      <c r="J53" s="172"/>
      <c r="K53" s="173"/>
    </row>
    <row r="54" s="6" customFormat="1" ht="20.15" customHeight="1" spans="1:11">
      <c r="A54" s="124" t="s">
        <v>99</v>
      </c>
      <c r="B54" s="125" t="s">
        <v>100</v>
      </c>
      <c r="C54" s="125">
        <v>30</v>
      </c>
      <c r="D54" s="129">
        <v>180</v>
      </c>
      <c r="E54" s="133">
        <v>4</v>
      </c>
      <c r="F54" s="126">
        <f t="shared" si="1"/>
        <v>6</v>
      </c>
      <c r="G54" s="131" t="s">
        <v>101</v>
      </c>
      <c r="H54" s="132" t="s">
        <v>102</v>
      </c>
      <c r="I54" s="172"/>
      <c r="J54" s="172">
        <v>7</v>
      </c>
      <c r="K54" s="173">
        <f t="shared" ref="K54:K62" si="2">J54</f>
        <v>7</v>
      </c>
    </row>
    <row r="55" s="6" customFormat="1" ht="20.15" customHeight="1" spans="1:11">
      <c r="A55" s="124" t="s">
        <v>103</v>
      </c>
      <c r="B55" s="125" t="s">
        <v>104</v>
      </c>
      <c r="C55" s="125">
        <v>30</v>
      </c>
      <c r="D55" s="129">
        <v>180</v>
      </c>
      <c r="E55" s="133">
        <v>2</v>
      </c>
      <c r="F55" s="126">
        <f t="shared" si="1"/>
        <v>3</v>
      </c>
      <c r="G55" s="131"/>
      <c r="H55" s="132"/>
      <c r="I55" s="172"/>
      <c r="J55" s="172"/>
      <c r="K55" s="173">
        <f t="shared" si="2"/>
        <v>0</v>
      </c>
    </row>
    <row r="56" s="6" customFormat="1" ht="20.15" customHeight="1" spans="1:11">
      <c r="A56" s="124" t="s">
        <v>105</v>
      </c>
      <c r="B56" s="123" t="s">
        <v>106</v>
      </c>
      <c r="C56" s="125">
        <v>25</v>
      </c>
      <c r="D56" s="129">
        <v>180</v>
      </c>
      <c r="E56" s="133">
        <v>2</v>
      </c>
      <c r="F56" s="126">
        <f t="shared" si="1"/>
        <v>2.5</v>
      </c>
      <c r="G56" s="131" t="s">
        <v>107</v>
      </c>
      <c r="H56" s="132"/>
      <c r="I56" s="172"/>
      <c r="J56" s="172">
        <v>2</v>
      </c>
      <c r="K56" s="173">
        <f t="shared" si="2"/>
        <v>2</v>
      </c>
    </row>
    <row r="57" s="6" customFormat="1" ht="20.15" customHeight="1" spans="1:11">
      <c r="A57" s="124" t="s">
        <v>108</v>
      </c>
      <c r="B57" s="134" t="s">
        <v>109</v>
      </c>
      <c r="C57" s="125">
        <v>30</v>
      </c>
      <c r="D57" s="129">
        <v>180</v>
      </c>
      <c r="E57" s="133">
        <v>2</v>
      </c>
      <c r="F57" s="126">
        <f t="shared" si="1"/>
        <v>3</v>
      </c>
      <c r="G57" s="131"/>
      <c r="H57" s="132"/>
      <c r="I57" s="172"/>
      <c r="J57" s="172"/>
      <c r="K57" s="173">
        <f t="shared" si="2"/>
        <v>0</v>
      </c>
    </row>
    <row r="58" s="6" customFormat="1" ht="20.15" customHeight="1" spans="1:11">
      <c r="A58" s="124" t="s">
        <v>110</v>
      </c>
      <c r="B58" s="135" t="s">
        <v>111</v>
      </c>
      <c r="C58" s="125">
        <v>25</v>
      </c>
      <c r="D58" s="129">
        <v>180</v>
      </c>
      <c r="E58" s="133">
        <v>2</v>
      </c>
      <c r="F58" s="126">
        <f t="shared" si="1"/>
        <v>2.5</v>
      </c>
      <c r="G58" s="131"/>
      <c r="H58" s="132"/>
      <c r="I58" s="172"/>
      <c r="J58" s="172"/>
      <c r="K58" s="173">
        <f t="shared" si="2"/>
        <v>0</v>
      </c>
    </row>
    <row r="59" s="6" customFormat="1" ht="20.15" customHeight="1" spans="1:11">
      <c r="A59" s="124" t="s">
        <v>112</v>
      </c>
      <c r="B59" s="135" t="s">
        <v>113</v>
      </c>
      <c r="C59" s="125">
        <v>25</v>
      </c>
      <c r="D59" s="129">
        <v>180</v>
      </c>
      <c r="E59" s="133">
        <v>2</v>
      </c>
      <c r="F59" s="126">
        <f t="shared" si="1"/>
        <v>2.5</v>
      </c>
      <c r="G59" s="131"/>
      <c r="H59" s="132"/>
      <c r="I59" s="172"/>
      <c r="J59" s="172"/>
      <c r="K59" s="173">
        <f t="shared" si="2"/>
        <v>0</v>
      </c>
    </row>
    <row r="60" s="6" customFormat="1" ht="20.15" customHeight="1" spans="1:11">
      <c r="A60" s="124" t="s">
        <v>114</v>
      </c>
      <c r="B60" s="135" t="s">
        <v>115</v>
      </c>
      <c r="C60" s="125">
        <v>25</v>
      </c>
      <c r="D60" s="129">
        <v>180</v>
      </c>
      <c r="E60" s="133">
        <v>2</v>
      </c>
      <c r="F60" s="126">
        <f t="shared" si="1"/>
        <v>2.5</v>
      </c>
      <c r="G60" s="131"/>
      <c r="H60" s="132"/>
      <c r="I60" s="172"/>
      <c r="J60" s="172"/>
      <c r="K60" s="173">
        <f t="shared" si="2"/>
        <v>0</v>
      </c>
    </row>
    <row r="61" s="6" customFormat="1" ht="20.15" customHeight="1" spans="1:11">
      <c r="A61" s="136"/>
      <c r="B61" s="123"/>
      <c r="C61" s="137"/>
      <c r="D61" s="129"/>
      <c r="E61" s="133"/>
      <c r="F61" s="138"/>
      <c r="G61" s="131"/>
      <c r="H61" s="132"/>
      <c r="I61" s="172"/>
      <c r="J61" s="172"/>
      <c r="K61" s="173">
        <f t="shared" si="2"/>
        <v>0</v>
      </c>
    </row>
    <row r="62" s="6" customFormat="1" ht="20.15" customHeight="1" spans="1:11">
      <c r="A62" s="139"/>
      <c r="B62" s="140"/>
      <c r="C62" s="141"/>
      <c r="D62" s="142"/>
      <c r="E62" s="143"/>
      <c r="F62" s="144"/>
      <c r="G62" s="145"/>
      <c r="H62" s="140"/>
      <c r="I62" s="174"/>
      <c r="J62" s="174"/>
      <c r="K62" s="173">
        <f t="shared" si="2"/>
        <v>0</v>
      </c>
    </row>
    <row r="63" s="7" customFormat="1" ht="16.35" spans="1:11">
      <c r="A63" s="102" t="s">
        <v>116</v>
      </c>
      <c r="B63" s="103"/>
      <c r="C63" s="103"/>
      <c r="D63" s="103"/>
      <c r="E63" s="146">
        <v>41.15</v>
      </c>
      <c r="F63" s="147"/>
      <c r="G63" s="148"/>
      <c r="H63" s="149"/>
      <c r="I63" s="175" t="s">
        <v>117</v>
      </c>
      <c r="J63" s="176"/>
      <c r="K63" s="177">
        <f>SUM(K53:K62)</f>
        <v>9</v>
      </c>
    </row>
    <row r="64" s="6" customFormat="1" ht="9" customHeight="1" spans="1:11">
      <c r="A64" s="71"/>
      <c r="B64" s="71"/>
      <c r="C64" s="71"/>
      <c r="D64" s="71"/>
      <c r="E64" s="71"/>
      <c r="F64" s="71"/>
      <c r="G64" s="71"/>
      <c r="H64" s="71"/>
      <c r="I64" s="71"/>
      <c r="J64" s="178"/>
      <c r="K64" s="179"/>
    </row>
    <row r="65" s="6" customFormat="1" ht="30.75" customHeight="1" spans="1:11">
      <c r="A65" s="180" t="s">
        <v>118</v>
      </c>
      <c r="B65" s="181"/>
      <c r="C65" s="181"/>
      <c r="D65" s="181"/>
      <c r="E65" s="181"/>
      <c r="F65" s="181"/>
      <c r="G65" s="181"/>
      <c r="H65" s="181"/>
      <c r="I65" s="181"/>
      <c r="J65" s="181"/>
      <c r="K65" s="196"/>
    </row>
    <row r="66" s="6" customFormat="1" ht="16.5" customHeight="1" spans="1:11">
      <c r="A66" s="182">
        <v>21</v>
      </c>
      <c r="B66" s="117"/>
      <c r="C66" s="117"/>
      <c r="D66" s="117">
        <v>22</v>
      </c>
      <c r="E66" s="117">
        <v>23</v>
      </c>
      <c r="F66" s="117">
        <v>24</v>
      </c>
      <c r="G66" s="117">
        <v>25</v>
      </c>
      <c r="H66" s="117"/>
      <c r="I66" s="117">
        <v>26</v>
      </c>
      <c r="J66" s="117">
        <v>27</v>
      </c>
      <c r="K66" s="118"/>
    </row>
    <row r="67" s="6" customFormat="1" ht="29.25" customHeight="1" spans="1:12">
      <c r="A67" s="183" t="s">
        <v>119</v>
      </c>
      <c r="B67" s="117"/>
      <c r="C67" s="117"/>
      <c r="D67" s="184" t="s">
        <v>120</v>
      </c>
      <c r="E67" s="184" t="s">
        <v>121</v>
      </c>
      <c r="F67" s="184" t="s">
        <v>122</v>
      </c>
      <c r="G67" s="184" t="s">
        <v>123</v>
      </c>
      <c r="H67" s="117"/>
      <c r="I67" s="184" t="s">
        <v>124</v>
      </c>
      <c r="J67" s="184" t="s">
        <v>125</v>
      </c>
      <c r="K67" s="118"/>
      <c r="L67" s="197"/>
    </row>
    <row r="68" s="6" customFormat="1" ht="34.5" customHeight="1" spans="1:12">
      <c r="A68" s="185">
        <f>G40+K40+E63+K63</f>
        <v>193.15</v>
      </c>
      <c r="B68" s="186"/>
      <c r="C68" s="187"/>
      <c r="D68" s="188"/>
      <c r="E68" s="188">
        <f>A68*0.03</f>
        <v>5.7945</v>
      </c>
      <c r="F68" s="189">
        <f>A68*0</f>
        <v>0</v>
      </c>
      <c r="G68" s="190">
        <f>(A68+D68+E68+F68)</f>
        <v>198.9445</v>
      </c>
      <c r="H68" s="191"/>
      <c r="I68" s="198">
        <f>I70/1.07</f>
        <v>52.3364485981308</v>
      </c>
      <c r="J68" s="199">
        <f>I68+G68</f>
        <v>251.280948598131</v>
      </c>
      <c r="K68" s="200"/>
      <c r="L68" s="6">
        <f>J68-238</f>
        <v>13.2809485981308</v>
      </c>
    </row>
    <row r="69" ht="15.6" spans="6:9">
      <c r="F69" s="192" t="s">
        <v>126</v>
      </c>
      <c r="G69" s="193" t="s">
        <v>127</v>
      </c>
      <c r="H69" s="193" t="s">
        <v>128</v>
      </c>
      <c r="I69" s="201" t="s">
        <v>129</v>
      </c>
    </row>
    <row r="70" spans="6:9">
      <c r="F70" s="194">
        <v>5</v>
      </c>
      <c r="G70" s="195">
        <v>23.8</v>
      </c>
      <c r="H70" s="195">
        <v>27.2</v>
      </c>
      <c r="I70" s="202">
        <f>G70+H70+F70</f>
        <v>56</v>
      </c>
    </row>
  </sheetData>
  <mergeCells count="59">
    <mergeCell ref="A1:K1"/>
    <mergeCell ref="A3:K3"/>
    <mergeCell ref="J5:K5"/>
    <mergeCell ref="A7:D7"/>
    <mergeCell ref="J7:K7"/>
    <mergeCell ref="A9:B9"/>
    <mergeCell ref="C9:F9"/>
    <mergeCell ref="H9:K9"/>
    <mergeCell ref="A10:B10"/>
    <mergeCell ref="C10:F10"/>
    <mergeCell ref="H10:K10"/>
    <mergeCell ref="A11:B11"/>
    <mergeCell ref="C11:F11"/>
    <mergeCell ref="H11:K11"/>
    <mergeCell ref="A12:B12"/>
    <mergeCell ref="C12:F12"/>
    <mergeCell ref="H12:K12"/>
    <mergeCell ref="A13:B13"/>
    <mergeCell ref="C13:F13"/>
    <mergeCell ref="H13:K13"/>
    <mergeCell ref="A14:B14"/>
    <mergeCell ref="C14:F14"/>
    <mergeCell ref="H14:K14"/>
    <mergeCell ref="A15:B15"/>
    <mergeCell ref="C15:F15"/>
    <mergeCell ref="H15:K15"/>
    <mergeCell ref="A16:B16"/>
    <mergeCell ref="C16:F16"/>
    <mergeCell ref="H16:K16"/>
    <mergeCell ref="A17:B17"/>
    <mergeCell ref="C17:F17"/>
    <mergeCell ref="H17:K17"/>
    <mergeCell ref="A18:B18"/>
    <mergeCell ref="C18:F18"/>
    <mergeCell ref="H18:K18"/>
    <mergeCell ref="A20:K20"/>
    <mergeCell ref="A22:B22"/>
    <mergeCell ref="A23:B23"/>
    <mergeCell ref="A40:F40"/>
    <mergeCell ref="H40:J40"/>
    <mergeCell ref="A41:K41"/>
    <mergeCell ref="A42:B42"/>
    <mergeCell ref="C42:F42"/>
    <mergeCell ref="I42:K42"/>
    <mergeCell ref="A43:B43"/>
    <mergeCell ref="A63:D63"/>
    <mergeCell ref="E63:F63"/>
    <mergeCell ref="I63:J63"/>
    <mergeCell ref="A65:K65"/>
    <mergeCell ref="A66:C66"/>
    <mergeCell ref="G66:H66"/>
    <mergeCell ref="J66:K66"/>
    <mergeCell ref="A67:C67"/>
    <mergeCell ref="G67:H67"/>
    <mergeCell ref="J67:K67"/>
    <mergeCell ref="A68:C68"/>
    <mergeCell ref="G68:H68"/>
    <mergeCell ref="J68:K68"/>
    <mergeCell ref="G16:G17"/>
  </mergeCells>
  <printOptions horizontalCentered="1"/>
  <pageMargins left="0.2" right="0.2" top="0.35" bottom="0.47" header="0.2" footer="0.47"/>
  <pageSetup paperSize="9" scale="47" orientation="portrait" horizontalDpi="600" verticalDpi="600"/>
  <headerFooter alignWithMargins="0" scaleWithDoc="0">
    <oddHeader>&amp;C&amp;"Arial,加粗" </oddHeader>
    <oddFooter>&amp;L&amp;"Arial,加粗"&amp;11SM P1805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第五部分 供应商零部件单件成本分解表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86152</dc:creator>
  <cp:lastModifiedBy>睡觉</cp:lastModifiedBy>
  <dcterms:created xsi:type="dcterms:W3CDTF">2026-01-31T03:41:18Z</dcterms:created>
  <dcterms:modified xsi:type="dcterms:W3CDTF">2026-01-31T03:43:39Z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43847CF1D0B347F2AFCAD96893527F6F_13</vt:lpwstr>
  </property>
  <property fmtid="{D5CDD505-2E9C-101B-9397-08002B2CF9AE}" pid="3" name="KSOProductBuildVer">
    <vt:lpwstr>2052-12.1.0.19302</vt:lpwstr>
  </property>
</Properties>
</file>